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https://ausdeloitte-my.sharepoint.com/personal/mfifield_deloitte_com_au/Documents/Desktop/"/>
    </mc:Choice>
  </mc:AlternateContent>
  <xr:revisionPtr revIDLastSave="38" documentId="8_{5B1A1022-52E1-4989-9037-DBF1D093F71F}" xr6:coauthVersionLast="47" xr6:coauthVersionMax="47" xr10:uidLastSave="{B1E9A481-6E3F-4140-98B3-A7383E2874BC}"/>
  <bookViews>
    <workbookView xWindow="-120" yWindow="-120" windowWidth="29040" windowHeight="15840" xr2:uid="{CE8F1F1A-8FBF-4FC1-808E-0E1A746445B1}"/>
  </bookViews>
  <sheets>
    <sheet name="Meal Generator" sheetId="5" r:id="rId1"/>
    <sheet name="Supporting Sheets &gt;&gt;&gt;" sheetId="6" r:id="rId2"/>
    <sheet name="MasterSheet" sheetId="1" r:id="rId3"/>
    <sheet name="Chat GPT Recipes" sheetId="2" r:id="rId4"/>
  </sheets>
  <definedNames>
    <definedName name="_xlnm._FilterDatabase" localSheetId="2" hidden="1">MasterSheet!$B$1:$F$1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5" l="1"/>
  <c r="C12" i="5"/>
  <c r="C13" i="5"/>
  <c r="C15" i="5" l="1"/>
  <c r="D22" i="5" s="1" a="1"/>
  <c r="D22" i="5" s="1"/>
  <c r="B26" i="5" l="1"/>
  <c r="B27" i="5"/>
  <c r="B23" i="5"/>
  <c r="B24" i="5"/>
  <c r="B25" i="5"/>
  <c r="B22" i="5" l="1"/>
  <c r="B32" i="5" l="1" a="1"/>
  <c r="B32" i="5" s="1"/>
  <c r="C32" i="5" s="1"/>
  <c r="C63" i="5" l="1"/>
  <c r="C64" i="5"/>
  <c r="C35" i="5"/>
  <c r="C56" i="5"/>
  <c r="C34" i="5"/>
  <c r="C55" i="5"/>
  <c r="C44" i="5"/>
  <c r="C51" i="5"/>
  <c r="C52" i="5"/>
  <c r="C42" i="5"/>
  <c r="C33" i="5"/>
  <c r="C36" i="5"/>
  <c r="C58" i="5"/>
  <c r="C40" i="5"/>
  <c r="C62" i="5"/>
  <c r="C46" i="5"/>
  <c r="C38" i="5"/>
  <c r="C48" i="5"/>
  <c r="C57" i="5"/>
  <c r="C49" i="5"/>
  <c r="C61" i="5"/>
  <c r="C47" i="5"/>
  <c r="C39" i="5"/>
  <c r="C50" i="5"/>
  <c r="C45" i="5"/>
  <c r="C60" i="5"/>
  <c r="C37" i="5"/>
  <c r="C54" i="5"/>
  <c r="C41" i="5"/>
  <c r="C43" i="5"/>
  <c r="C53" i="5"/>
  <c r="C59"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<sst xmlns="http://schemas.openxmlformats.org/spreadsheetml/2006/main" count="328" uniqueCount="110">
  <si>
    <t>Bulk Meal Options List</t>
  </si>
  <si>
    <t>Chicken Curry</t>
  </si>
  <si>
    <t>Chicken Stir Fry</t>
  </si>
  <si>
    <t>Beef Stirfry</t>
  </si>
  <si>
    <t>Kangaroo Pasta</t>
  </si>
  <si>
    <t>Ingrediant List</t>
  </si>
  <si>
    <t>Chicken Breast</t>
  </si>
  <si>
    <t>Brown Rice</t>
  </si>
  <si>
    <t>2 x Curry Sauce</t>
  </si>
  <si>
    <t>Frozen Vegetables</t>
  </si>
  <si>
    <t>Chicken Thigh</t>
  </si>
  <si>
    <t>Noodles</t>
  </si>
  <si>
    <t>Stirfry Sauce/Spices</t>
  </si>
  <si>
    <t>StirFry Vegetables</t>
  </si>
  <si>
    <t>Beef Cubes</t>
  </si>
  <si>
    <t>Kangaroo Mince</t>
  </si>
  <si>
    <t>Onion</t>
  </si>
  <si>
    <t>Garlic</t>
  </si>
  <si>
    <t>Pasta Sauce</t>
  </si>
  <si>
    <t>Pasta</t>
  </si>
  <si>
    <t>Recipe Link</t>
  </si>
  <si>
    <t>N/A</t>
  </si>
  <si>
    <t>https://www.bbcgoodfood.com/recipes/pulled-chicken-black-bean-chilli#commentsFeed</t>
  </si>
  <si>
    <t>Pulled chicken &amp; black bean chilli</t>
  </si>
  <si>
    <t>Black Beans</t>
  </si>
  <si>
    <t>Passata</t>
  </si>
  <si>
    <t>Chipotle</t>
  </si>
  <si>
    <t>Red Onion</t>
  </si>
  <si>
    <t>https://www.pickuplimes.com/recipe/make-ahead-freezer-burritos-330</t>
  </si>
  <si>
    <t>Meal Idea</t>
  </si>
  <si>
    <t>Dinner</t>
  </si>
  <si>
    <t>Lunch</t>
  </si>
  <si>
    <t>Make ahead Burritos</t>
  </si>
  <si>
    <t>Soft Tortilla</t>
  </si>
  <si>
    <t>Mexica Spice Mix</t>
  </si>
  <si>
    <t>Bell Peppers</t>
  </si>
  <si>
    <t>Corn</t>
  </si>
  <si>
    <t>Refried Beans</t>
  </si>
  <si>
    <t>https://www.pickuplimes.com/recipe/make-ahead-freezer-burritos-331</t>
  </si>
  <si>
    <t>https://www.pickuplimes.com/recipe/make-ahead-freezer-burritos-332</t>
  </si>
  <si>
    <t>https://www.pickuplimes.com/recipe/make-ahead-freezer-burritos-333</t>
  </si>
  <si>
    <t>https://www.pickuplimes.com/recipe/make-ahead-freezer-burritos-334</t>
  </si>
  <si>
    <t>https://www.pickuplimes.com/recipe/make-ahead-freezer-burritos-335</t>
  </si>
  <si>
    <t>https://www.pickuplimes.com/recipe/make-ahead-freezer-burritos-336</t>
  </si>
  <si>
    <t>Miso Paste</t>
  </si>
  <si>
    <t>Lentil and Vegetable Stew</t>
  </si>
  <si>
    <t>Lentils</t>
  </si>
  <si>
    <t>Recipe</t>
  </si>
  <si>
    <t>Ingrediants</t>
  </si>
  <si>
    <t>Instructions</t>
  </si>
  <si>
    <t>1 cup green or brown lentils
1 onion, diced
2 cloves garlic, minced
2 cups diced carrots
2 cups diced potatoes
2 cups chopped kale or spinach
4 cups vegetable broth
1 teaspoon dried thyme
Salt and pepper, to taste
Cooked rice or quinoa, for serving</t>
  </si>
  <si>
    <t>Rinse the lentils in a fine mesh strainer and pick out any small stones or debris.
In a large pot, sauté the onion and garlic in a bit of oil until softened.
Add the lentils, vegetables, broth, and thyme to the pot. Bring to a simmer and cook for about 20-25 minutes, or until the lentils and vegetables are tender.
Season with salt and pepper to taste.
Serve over rice or quinoa.</t>
  </si>
  <si>
    <t>Black Bean and Sweet Potato Chili</t>
  </si>
  <si>
    <t>1 tablespoon olive oil
1 onion, diced
2 cloves garlic, minced
1 red bell pepper, diced
2 cups diced sweet potatoes
2 cans black beans, rinsed and drained
1 can diced tomatoes
2 tablespoons chili powder
1 teaspoon cumin
Salt and pepper, to taste
Quinoa or cornbread, for serving</t>
  </si>
  <si>
    <t>Heat the oil in a large pot over medium heat.
Add the onion, garlic, and bell pepper, and cook until softened.
Add the sweet potatoes, black beans, diced tomatoes, chili powder, and cumin. Stir to combine.
Bring to a simmer and cook for about 20-25 minutes, or until the sweet potatoes are tender.
Season with salt and pepper to taste.
Serve over quinoa or with a side of cornbread.</t>
  </si>
  <si>
    <t>Baked Salmon with Quinoa and Roasted Vegetables</t>
  </si>
  <si>
    <t>4 (6-ounce) salmon fillets
Salt and pepper, to taste
2 cups chopped vegetables (such as broccoli, cauliflower, and bell peppers)
2 tablespoons olive oil
1 cup quinoa
2 cups water</t>
  </si>
  <si>
    <t>Preheat the oven to 400 degrees F (200 degrees C).
Season the salmon with salt and pepper.
Arrange the vegetables on a baking sheet, and drizzle with olive oil. Toss to coat.
Roast the vegetables for about 20-25 minutes, or until tender.
Place the salmon on a separate baking sheet and bake for about 12-15 minutes, or until cooked through.
Cook the quinoa according to package instructions.
Serve the salmon with the roasted vegetables and quinoa.</t>
  </si>
  <si>
    <t>Vegetable and Bean Soup</t>
  </si>
  <si>
    <t>1 tablespoon olive oil
1 onion, diced
2 cloves garlic, minced
2 cups diced carrots
2 cups diced celery
2 cups diced potatoes
4 cups vegetable broth
1 can chickpeas or navy beans, drained and rinsed
1 teaspoon dried thyme
Salt and pepper, to taste</t>
  </si>
  <si>
    <t>In a large pot, heat the oil over medium heat.
Add the onion and garlic and sauté until softened.
Add the carrots, celery, potatoes, broth, and thyme. Bring to a simmer and cook for about 20-25 minutes, or until the vegetables are tender.
Add the chickpeas or navy beans, and cook for an additional 5 minutes.
Season with salt and pepper to taste.</t>
  </si>
  <si>
    <t>Slow Cooker Chicken and Vegetable Curry</t>
  </si>
  <si>
    <t>4 boneless, skinless chicken breasts
2 cups diced vegetables (such as bell peppers, onion, and sweet potatoes)
1 can diced tomatoes
1 cup coconut milk
2 tablespoons curry paste or 2 teaspoons curry powder, cumin, coriander powder, turmeric
Salt and pepper, to taste
Cooked rice or quinoa, for serving</t>
  </si>
  <si>
    <t>Place the chicken, vegetables, diced tomatoes, coconut milk, curry paste or powder and spices in a slow cooker.
Season the chicken with salt and pepper.
Stir everything together to combine.
Cook on low for 6-8 hours, or until the chicken is cooked through and the vegetables are tender.
Season with more salt and pepper if needed.
Serve over rice or quinoa</t>
  </si>
  <si>
    <t>Bell Pepper</t>
  </si>
  <si>
    <t>Chilli Powder</t>
  </si>
  <si>
    <t>Carrot</t>
  </si>
  <si>
    <t>Potatoes</t>
  </si>
  <si>
    <t>Kale/Spinach</t>
  </si>
  <si>
    <t>Vegetable Broth</t>
  </si>
  <si>
    <t>Thyme</t>
  </si>
  <si>
    <t>Black Bean and Sweet Potato Chilli</t>
  </si>
  <si>
    <t>Cloves</t>
  </si>
  <si>
    <t>Sweet Potatoes</t>
  </si>
  <si>
    <t>Tomatoes</t>
  </si>
  <si>
    <t>Quinoa</t>
  </si>
  <si>
    <t>Salmon</t>
  </si>
  <si>
    <t>Brocolli</t>
  </si>
  <si>
    <t>Celery</t>
  </si>
  <si>
    <t>Chickpeas</t>
  </si>
  <si>
    <t>Cauliflower</t>
  </si>
  <si>
    <t>Coconut Milk</t>
  </si>
  <si>
    <t>Curry Paste</t>
  </si>
  <si>
    <t>ChatGpt Tab</t>
  </si>
  <si>
    <t>Assumptions</t>
  </si>
  <si>
    <t>Jalapenos</t>
  </si>
  <si>
    <t>Index</t>
  </si>
  <si>
    <t>Generator</t>
  </si>
  <si>
    <t>Target Days for Meal Prep</t>
  </si>
  <si>
    <t>Meal Name</t>
  </si>
  <si>
    <t>Required Ingredients</t>
  </si>
  <si>
    <t>List</t>
  </si>
  <si>
    <t>Total Occurance of All Ingredients</t>
  </si>
  <si>
    <t>No of Servings Per Dish</t>
  </si>
  <si>
    <t>Servings per day (Lunch/Dinner)</t>
  </si>
  <si>
    <t xml:space="preserve">use the same format for ingredients that are the same and include a numeric value for how many servings a meal has. </t>
  </si>
  <si>
    <t>Random Meal Plan Generator</t>
  </si>
  <si>
    <t>Link to Mastersheet.</t>
  </si>
  <si>
    <t>By Max Fifield</t>
  </si>
  <si>
    <t>You may also wish to add a link to the recipe. The link to the Mastersheet is here.</t>
  </si>
  <si>
    <t>Total  Servings for Meal Prep period</t>
  </si>
  <si>
    <t>Note the calculated cell "Total Servings" must not exceed 28. This tool is designed for a maximum of 28 servings for a given meal prep period.</t>
  </si>
  <si>
    <t>Total Number of Meal Options</t>
  </si>
  <si>
    <t>Average Servings/Meal</t>
  </si>
  <si>
    <t>Total Meals Needed for the Meal Prep Period</t>
  </si>
  <si>
    <t xml:space="preserve">4. Enjoy and please leave any feedback or feature requests via the following form: </t>
  </si>
  <si>
    <t>Feedback linked here.</t>
  </si>
  <si>
    <t>3. Click the "Generate Random Meals Now" Button to randomly select a set of meals from the list you created in the Mastersheet.
Note the amount of meals generated depends on the value at C15.</t>
  </si>
  <si>
    <t>2. Input your assumptions in the light grey boxes. This includes number of servings per day and total meals. No other boxes need to edited here.</t>
  </si>
  <si>
    <t>1. Populate the mastersheet of recipes with a list of recipes of your choosing. Remember to add a unique index for each recipe (1,2,3…),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</si>
</sst>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9"/>
      <color theme="1"/>
      <name val="Verdana"/>
      <family val="2"/>
    </font>
    <font>
      <b/>
      <sz val="11"/>
      <color theme="1"/>
      <name val="Verdana"/>
      <family val="2"/>
    </font>
    <font>
      <sz val="8"/>
      <name val="Verdana"/>
      <family val="2"/>
    </font>
    <font>
      <sz val="9"/>
      <color theme="1"/>
      <name val="Calibri"/>
      <family val="2"/>
    </font>
    <font>
      <b/>
      <sz val="14"/>
      <color theme="1"/>
      <name val="Calibri"/>
      <family val="2"/>
    </font>
    <font>
      <b/>
      <sz val="9"/>
      <color theme="1"/>
      <name val="Calibri"/>
      <family val="2"/>
    </font>
    <font>
      <u/>
      <sz val="9"/>
      <color theme="10"/>
      <name val="Verdana"/>
      <family val="2"/>
    </font>
    <font>
      <b/>
      <sz val="10"/>
      <color theme="1"/>
      <name val="Calibri"/>
      <family val="2"/>
    </font>
    <font>
      <sz val="9"/>
      <color rgb="FF000000"/>
      <name val="Verdana"/>
      <family val="2"/>
    </font>
    <font>
      <sz val="9"/>
      <color theme="0"/>
      <name val="Calibri"/>
      <family val="2"/>
    </font>
    <font>
      <b/>
      <sz val="11"/>
      <color theme="0"/>
      <name val="Calibri"/>
      <family val="2"/>
    </font>
    <font>
      <i/>
      <u/>
      <sz val="9"/>
      <color theme="0"/>
      <name val="Calibri"/>
      <family val="2"/>
    </font>
    <font>
      <sz val="9"/>
      <color theme="1"/>
      <name val="Segoe UI"/>
      <family val="2"/>
    </font>
    <font>
      <i/>
      <u/>
      <sz val="9"/>
      <color theme="1"/>
      <name val="Segoe UI"/>
      <family val="2"/>
    </font>
  </fonts>
  <fills count="5">
    <fill>
      <patternFill patternType="none"/>
    </fill>
    <fill>
      <patternFill patternType="gray125"/>
    </fill>
    <fill>
      <patternFill patternType="solid">
        <fgColor rgb="FF002060"/>
        <bgColor indexed="64"/>
      </patternFill>
    </fill>
    <fill>
      <patternFill patternType="solid">
        <fgColor theme="9" tint="0.79998168889431442"/>
        <bgColor indexed="64"/>
      </patternFill>
    </fill>
    <fill>
      <patternFill patternType="solid">
        <fgColor theme="9" tint="0.59999389629810485"/>
        <bgColor indexed="64"/>
      </patternFill>
    </fill>
  </fills>
  <borders count="10">
    <border>
      <left/>
      <right/>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indexed="64"/>
      </right>
      <top style="thin">
        <color indexed="64"/>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indexed="64"/>
      </right>
      <top style="thin">
        <color theme="0"/>
      </top>
      <bottom style="thin">
        <color indexed="64"/>
      </bottom>
      <diagonal/>
    </border>
  </borders>
  <cellStyleXfs count="2">
    <xf numFmtId="0" fontId="0" fillId="0" borderId="0"/>
    <xf numFmtId="0" fontId="6" fillId="0" borderId="0" applyNumberFormat="0" applyFill="0" applyBorder="0" applyAlignment="0" applyProtection="0"/>
  </cellStyleXfs>
  <cellXfs count="35">
    <xf numFmtId="0" fontId="0" fillId="0" borderId="0" xfId="0"/>
    <xf numFmtId="0" fontId="1" fillId="0" borderId="0" xfId="0" applyFont="1"/>
    <xf numFmtId="0" fontId="3" fillId="0" borderId="0" xfId="0" applyFont="1"/>
    <xf numFmtId="0" fontId="3" fillId="0" borderId="0" xfId="0" applyFont="1" applyAlignment="1">
      <alignment wrapText="1"/>
    </xf>
    <xf numFmtId="0" fontId="3" fillId="0" borderId="0" xfId="0" applyFont="1" applyAlignment="1">
      <alignment vertical="top" wrapText="1"/>
    </xf>
    <xf numFmtId="0" fontId="4" fillId="0" borderId="0" xfId="0" applyFont="1"/>
    <xf numFmtId="0" fontId="6" fillId="0" borderId="0" xfId="1"/>
    <xf numFmtId="0" fontId="3" fillId="0" borderId="1" xfId="0" applyFont="1" applyBorder="1"/>
    <xf numFmtId="0" fontId="3" fillId="0" borderId="2" xfId="0" applyFont="1" applyBorder="1"/>
    <xf numFmtId="0" fontId="3" fillId="0" borderId="5" xfId="0" applyFont="1" applyBorder="1"/>
    <xf numFmtId="0" fontId="5" fillId="0" borderId="3" xfId="0" applyFont="1" applyBorder="1"/>
    <xf numFmtId="0" fontId="7" fillId="0" borderId="1" xfId="0" applyFont="1" applyBorder="1"/>
    <xf numFmtId="164" fontId="3" fillId="0" borderId="4" xfId="0" applyNumberFormat="1" applyFont="1" applyBorder="1"/>
    <xf numFmtId="0" fontId="3" fillId="2" borderId="0" xfId="0" applyFont="1" applyFill="1"/>
    <xf numFmtId="0" fontId="3" fillId="3" borderId="7" xfId="0" applyFont="1" applyFill="1" applyBorder="1" applyAlignment="1">
      <alignment horizontal="center"/>
    </xf>
    <xf numFmtId="0" fontId="3" fillId="3" borderId="8" xfId="0" applyFont="1" applyFill="1" applyBorder="1" applyAlignment="1">
      <alignment horizontal="center"/>
    </xf>
    <xf numFmtId="0" fontId="5" fillId="4" borderId="8" xfId="0" applyFont="1" applyFill="1" applyBorder="1" applyAlignment="1">
      <alignment horizontal="center"/>
    </xf>
    <xf numFmtId="2" fontId="5" fillId="4" borderId="8" xfId="0" applyNumberFormat="1" applyFont="1" applyFill="1" applyBorder="1" applyAlignment="1">
      <alignment horizontal="center"/>
    </xf>
    <xf numFmtId="0" fontId="5" fillId="4" borderId="9" xfId="0" applyFont="1" applyFill="1" applyBorder="1" applyAlignment="1">
      <alignment horizontal="center"/>
    </xf>
    <xf numFmtId="164" fontId="3" fillId="0" borderId="4" xfId="0" applyNumberFormat="1" applyFont="1" applyBorder="1" applyAlignment="1">
      <alignment horizontal="center"/>
    </xf>
    <xf numFmtId="0" fontId="7" fillId="0" borderId="3" xfId="0" applyFont="1" applyBorder="1" applyAlignment="1">
      <alignment horizontal="center"/>
    </xf>
    <xf numFmtId="0" fontId="9" fillId="2" borderId="0" xfId="0" applyFont="1" applyFill="1"/>
    <xf numFmtId="0" fontId="10" fillId="2" borderId="0" xfId="0" applyFont="1" applyFill="1"/>
    <xf numFmtId="0" fontId="11" fillId="2" borderId="0" xfId="1" applyFont="1" applyFill="1"/>
    <xf numFmtId="0" fontId="3" fillId="3" borderId="6" xfId="0" applyFont="1" applyFill="1" applyBorder="1"/>
    <xf numFmtId="0" fontId="3" fillId="3" borderId="1" xfId="0" applyFont="1" applyFill="1" applyBorder="1"/>
    <xf numFmtId="0" fontId="3" fillId="3" borderId="3" xfId="0" applyFont="1" applyFill="1" applyBorder="1"/>
    <xf numFmtId="0" fontId="3" fillId="3" borderId="2" xfId="0" applyFont="1" applyFill="1" applyBorder="1"/>
    <xf numFmtId="0" fontId="12" fillId="3" borderId="4" xfId="0" applyFont="1" applyFill="1" applyBorder="1"/>
    <xf numFmtId="0" fontId="12" fillId="3" borderId="4" xfId="0" applyFont="1" applyFill="1" applyBorder="1" applyAlignment="1">
      <alignment vertical="top" wrapText="1"/>
    </xf>
    <xf numFmtId="0" fontId="13" fillId="3" borderId="4" xfId="0" applyFont="1" applyFill="1" applyBorder="1"/>
    <xf numFmtId="0" fontId="3" fillId="3" borderId="4" xfId="0" applyFont="1" applyFill="1" applyBorder="1"/>
    <xf numFmtId="0" fontId="3" fillId="3" borderId="5" xfId="0" applyFont="1" applyFill="1" applyBorder="1"/>
    <xf numFmtId="0" fontId="9" fillId="0" borderId="4" xfId="0" applyFont="1" applyBorder="1" applyAlignment="1">
      <alignment horizontal="center"/>
    </xf>
    <xf numFmtId="0" fontId="9" fillId="0" borderId="6" xfId="0" applyFont="1" applyBorder="1" applyAlignment="1">
      <alignment horizontal="center"/>
    </xf>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18</xdr:row>
          <xdr:rowOff>28575</xdr:rowOff>
        </xdr:from>
        <xdr:to>
          <xdr:col>3</xdr:col>
          <xdr:colOff>0</xdr:colOff>
          <xdr:row>19</xdr:row>
          <xdr:rowOff>57150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900" b="0" i="0" u="none" strike="noStrike" baseline="0">
                  <a:solidFill>
                    <a:srgbClr val="000000"/>
                  </a:solidFill>
                  <a:latin typeface="Verdana"/>
                  <a:ea typeface="Verdana"/>
                </a:rPr>
                <a:t>Generate Random Meals Now</a:t>
              </a:r>
            </a:p>
          </xdr:txBody>
        </xdr:sp>
        <xdr:clientData fPrintsWithSheet="0"/>
      </xdr:twoCellAnchor>
    </mc:Choice>
    <mc:Fallback/>
  </mc:AlternateContent>
  <xdr:twoCellAnchor editAs="oneCell">
    <xdr:from>
      <xdr:col>6</xdr:col>
      <xdr:colOff>6885446</xdr:colOff>
      <xdr:row>1</xdr:row>
      <xdr:rowOff>36624</xdr:rowOff>
    </xdr:from>
    <xdr:to>
      <xdr:col>7</xdr:col>
      <xdr:colOff>129153</xdr:colOff>
      <xdr:row>5</xdr:row>
      <xdr:rowOff>48433</xdr:rowOff>
    </xdr:to>
    <xdr:pic>
      <xdr:nvPicPr>
        <xdr:cNvPr id="5" name="Graphic 4" descr="Catering with solid fill">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713454" y="76984"/>
          <a:ext cx="508538" cy="576852"/>
        </a:xfrm>
        <a:prstGeom prst="rect">
          <a:avLst/>
        </a:prstGeom>
      </xdr:spPr>
    </xdr:pic>
    <xdr:clientData/>
  </xdr:twoCellAnchor>
</xdr:wsDr>
</file>

<file path=xl/theme/theme1.xml><?xml version="1.0" encoding="utf-8"?>
<a:theme xmlns:a="http://schemas.openxmlformats.org/drawingml/2006/main" name="Office Theme">
  <a:themeElements>
    <a:clrScheme name="Deloitte">
      <a:dk1>
        <a:srgbClr val="000000"/>
      </a:dk1>
      <a:lt1>
        <a:sysClr val="window" lastClr="FFFFFF"/>
      </a:lt1>
      <a:dk2>
        <a:srgbClr val="44546A"/>
      </a:dk2>
      <a:lt2>
        <a:srgbClr val="E7E6E6"/>
      </a:lt2>
      <a:accent1>
        <a:srgbClr val="86BC25"/>
      </a:accent1>
      <a:accent2>
        <a:srgbClr val="046A38"/>
      </a:accent2>
      <a:accent3>
        <a:srgbClr val="62B5E5"/>
      </a:accent3>
      <a:accent4>
        <a:srgbClr val="012169"/>
      </a:accent4>
      <a:accent5>
        <a:srgbClr val="0097A9"/>
      </a:accent5>
      <a:accent6>
        <a:srgbClr val="75787B"/>
      </a:accent6>
      <a:hlink>
        <a:srgbClr val="00A3E0"/>
      </a:hlink>
      <a:folHlink>
        <a:srgbClr val="954F72"/>
      </a:folHlink>
    </a:clrScheme>
    <a:fontScheme name="Deloitte">
      <a:majorFont>
        <a:latin typeface="Verdana"/>
        <a:ea typeface=""/>
        <a:cs typeface=""/>
      </a:majorFont>
      <a:minorFont>
        <a:latin typeface="Verdana"/>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forms.office.com/r/yuc4YVKeJW"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71B17-95F7-402B-9D54-B44307984868}">
  <sheetPr codeName="Sheet1">
    <tabColor theme="4"/>
  </sheetPr>
  <dimension ref="A1:X80"/>
  <sheetViews>
    <sheetView showGridLines="0" tabSelected="1" topLeftCell="B10" zoomScale="118" zoomScaleNormal="130" workbookViewId="0">
      <selection activeCell="G34" sqref="G34"/>
    </sheetView>
  </sheetViews>
  <sheetFormatPr defaultColWidth="0" defaultRowHeight="12" zeroHeight="1" x14ac:dyDescent="0.2"/>
  <cols>
    <col min="1" max="1" width="1.125" style="2" customWidth="1"/>
    <col min="2" max="2" width="45.25" style="2" customWidth="1"/>
    <col min="3" max="3" width="23.375" style="2" customWidth="1"/>
    <col min="4" max="4" width="5.875" style="2" hidden="1" customWidth="1"/>
    <col min="5" max="5" width="5.875" style="2" customWidth="1"/>
    <col min="6" max="6" width="0.875" style="2" customWidth="1"/>
    <col min="7" max="7" width="95.375" style="2" customWidth="1"/>
    <col min="8" max="8" width="4.5" style="2" customWidth="1"/>
    <col min="9" max="24" width="0" style="2" hidden="1" customWidth="1"/>
    <col min="25" max="16384" width="9" style="2" hidden="1"/>
  </cols>
  <sheetData>
    <row r="1" spans="1:24" ht="3" customHeight="1" x14ac:dyDescent="0.2">
      <c r="A1" s="13"/>
      <c r="B1" s="13"/>
      <c r="C1" s="13"/>
      <c r="D1" s="13"/>
      <c r="E1" s="13"/>
      <c r="F1" s="13"/>
      <c r="G1" s="13"/>
      <c r="H1" s="13"/>
      <c r="I1" s="13"/>
      <c r="J1" s="13"/>
      <c r="K1" s="13"/>
      <c r="L1" s="13"/>
      <c r="M1" s="13"/>
      <c r="N1" s="13"/>
      <c r="O1" s="13"/>
      <c r="P1" s="13"/>
      <c r="Q1" s="13"/>
      <c r="R1" s="13"/>
      <c r="S1" s="13"/>
      <c r="T1" s="13"/>
      <c r="U1" s="13"/>
      <c r="V1" s="13"/>
      <c r="W1" s="13"/>
      <c r="X1" s="13"/>
    </row>
    <row r="2" spans="1:24" ht="18.75" customHeight="1" x14ac:dyDescent="0.25">
      <c r="A2" s="13"/>
      <c r="B2" s="22" t="s">
        <v>96</v>
      </c>
      <c r="C2" s="13"/>
      <c r="D2" s="13"/>
      <c r="E2" s="13"/>
      <c r="F2" s="13"/>
      <c r="G2" s="13"/>
      <c r="H2" s="13"/>
      <c r="I2" s="13"/>
      <c r="J2" s="13"/>
      <c r="K2" s="13"/>
      <c r="L2" s="13"/>
      <c r="M2" s="13"/>
      <c r="N2" s="13"/>
      <c r="O2" s="13"/>
      <c r="P2" s="13"/>
      <c r="Q2" s="13"/>
      <c r="R2" s="13"/>
      <c r="S2" s="13"/>
      <c r="T2" s="13"/>
      <c r="U2" s="13"/>
      <c r="V2" s="13"/>
      <c r="W2" s="13"/>
      <c r="X2" s="13"/>
    </row>
    <row r="3" spans="1:24" ht="11.25" customHeight="1" x14ac:dyDescent="0.2">
      <c r="A3" s="13"/>
      <c r="B3" s="21" t="s">
        <v>98</v>
      </c>
      <c r="C3" s="13"/>
      <c r="D3" s="13"/>
      <c r="E3" s="13"/>
      <c r="F3" s="13"/>
      <c r="G3" s="13"/>
      <c r="H3" s="13"/>
      <c r="I3" s="13"/>
      <c r="J3" s="13"/>
      <c r="K3" s="13"/>
      <c r="L3" s="13"/>
      <c r="M3" s="13"/>
      <c r="N3" s="13"/>
      <c r="O3" s="13"/>
      <c r="P3" s="13"/>
      <c r="Q3" s="13"/>
      <c r="R3" s="13"/>
      <c r="S3" s="13"/>
      <c r="T3" s="13"/>
      <c r="U3" s="13"/>
      <c r="V3" s="13"/>
      <c r="W3" s="13"/>
      <c r="X3" s="13"/>
    </row>
    <row r="4" spans="1:24" ht="5.25" customHeight="1" x14ac:dyDescent="0.2">
      <c r="A4" s="13"/>
      <c r="B4" s="21"/>
      <c r="C4" s="13"/>
      <c r="D4" s="13"/>
      <c r="E4" s="13"/>
      <c r="F4" s="13"/>
      <c r="G4" s="13"/>
      <c r="H4" s="13"/>
      <c r="I4" s="13"/>
      <c r="J4" s="13"/>
      <c r="K4" s="13"/>
      <c r="L4" s="13"/>
      <c r="M4" s="13"/>
      <c r="N4" s="13"/>
      <c r="O4" s="13"/>
      <c r="P4" s="13"/>
      <c r="Q4" s="13"/>
      <c r="R4" s="13"/>
      <c r="S4" s="13"/>
      <c r="T4" s="13"/>
      <c r="U4" s="13"/>
      <c r="V4" s="13"/>
      <c r="W4" s="13"/>
      <c r="X4" s="13"/>
    </row>
    <row r="5" spans="1:24" ht="9" customHeight="1" x14ac:dyDescent="0.2">
      <c r="A5" s="13"/>
      <c r="B5" s="23" t="s">
        <v>97</v>
      </c>
      <c r="C5" s="23"/>
      <c r="D5" s="13"/>
      <c r="E5" s="13"/>
      <c r="F5" s="13"/>
      <c r="G5" s="13"/>
      <c r="H5" s="13"/>
      <c r="I5" s="13"/>
      <c r="J5" s="13"/>
      <c r="K5" s="13"/>
      <c r="L5" s="13"/>
      <c r="M5" s="13"/>
      <c r="N5" s="13"/>
      <c r="O5" s="13"/>
      <c r="P5" s="13"/>
      <c r="Q5" s="13"/>
      <c r="R5" s="13"/>
      <c r="S5" s="13"/>
      <c r="T5" s="13"/>
      <c r="U5" s="13"/>
      <c r="V5" s="13"/>
      <c r="W5" s="13"/>
      <c r="X5" s="13"/>
    </row>
    <row r="6" spans="1:24" ht="9" customHeight="1" x14ac:dyDescent="0.2">
      <c r="A6" s="13"/>
      <c r="B6" s="13"/>
      <c r="C6" s="13"/>
      <c r="D6" s="13"/>
      <c r="E6" s="13"/>
      <c r="F6" s="13"/>
      <c r="G6" s="13"/>
      <c r="H6" s="13"/>
      <c r="I6" s="13"/>
      <c r="J6" s="13"/>
      <c r="K6" s="13"/>
      <c r="L6" s="13"/>
      <c r="M6" s="13"/>
      <c r="N6" s="13"/>
      <c r="O6" s="13"/>
      <c r="P6" s="13"/>
      <c r="Q6" s="13"/>
      <c r="R6" s="13"/>
      <c r="S6" s="13"/>
      <c r="T6" s="13"/>
      <c r="U6" s="13"/>
      <c r="V6" s="13"/>
      <c r="W6" s="13"/>
      <c r="X6" s="13"/>
    </row>
    <row r="7" spans="1:24" ht="9" customHeight="1" x14ac:dyDescent="0.2"/>
    <row r="8" spans="1:24" ht="18.75" x14ac:dyDescent="0.3">
      <c r="B8" s="5" t="s">
        <v>84</v>
      </c>
      <c r="F8" s="5" t="s">
        <v>49</v>
      </c>
      <c r="G8" s="5"/>
    </row>
    <row r="9" spans="1:24" ht="4.5" customHeight="1" x14ac:dyDescent="0.3">
      <c r="G9" s="5"/>
    </row>
    <row r="10" spans="1:24" x14ac:dyDescent="0.2">
      <c r="B10" s="7" t="s">
        <v>94</v>
      </c>
      <c r="C10" s="14">
        <v>2</v>
      </c>
      <c r="F10" s="25"/>
      <c r="G10" s="26"/>
    </row>
    <row r="11" spans="1:24" x14ac:dyDescent="0.2">
      <c r="B11" s="8" t="s">
        <v>88</v>
      </c>
      <c r="C11" s="15">
        <v>14</v>
      </c>
      <c r="F11" s="27"/>
      <c r="G11" s="28" t="s">
        <v>109</v>
      </c>
    </row>
    <row r="12" spans="1:24" x14ac:dyDescent="0.2">
      <c r="B12" s="8" t="s">
        <v>100</v>
      </c>
      <c r="C12" s="16">
        <f>C11*C10</f>
        <v>28</v>
      </c>
      <c r="F12" s="27"/>
      <c r="G12" s="28" t="s">
        <v>95</v>
      </c>
    </row>
    <row r="13" spans="1:24" x14ac:dyDescent="0.2">
      <c r="B13" s="8" t="s">
        <v>102</v>
      </c>
      <c r="C13" s="16">
        <f>MAX(MasterSheet!$A$2:$A$100)</f>
        <v>11</v>
      </c>
      <c r="F13" s="27"/>
      <c r="G13" s="28" t="s">
        <v>99</v>
      </c>
    </row>
    <row r="14" spans="1:24" x14ac:dyDescent="0.2">
      <c r="B14" s="8" t="s">
        <v>103</v>
      </c>
      <c r="C14" s="17">
        <f>AVERAGE(MasterSheet!F2:F100)</f>
        <v>4.2285714285714286</v>
      </c>
      <c r="F14" s="27"/>
      <c r="G14" s="28"/>
    </row>
    <row r="15" spans="1:24" x14ac:dyDescent="0.2">
      <c r="B15" s="9" t="s">
        <v>104</v>
      </c>
      <c r="C15" s="18">
        <f>ROUNDDOWN((C12/C14),0)</f>
        <v>6</v>
      </c>
      <c r="F15" s="27"/>
      <c r="G15" s="28" t="s">
        <v>108</v>
      </c>
    </row>
    <row r="16" spans="1:24" x14ac:dyDescent="0.2">
      <c r="F16" s="27"/>
      <c r="G16" s="28" t="s">
        <v>101</v>
      </c>
    </row>
    <row r="17" spans="2:7" ht="14.25" customHeight="1" x14ac:dyDescent="0.3">
      <c r="B17" s="5" t="s">
        <v>87</v>
      </c>
      <c r="F17" s="27"/>
      <c r="G17" s="28"/>
    </row>
    <row r="18" spans="2:7" ht="3.75" customHeight="1" x14ac:dyDescent="0.2">
      <c r="F18" s="27"/>
      <c r="G18" s="28"/>
    </row>
    <row r="19" spans="2:7" ht="39.75" customHeight="1" x14ac:dyDescent="0.2">
      <c r="B19" s="6"/>
      <c r="F19" s="27"/>
      <c r="G19" s="29" t="s">
        <v>107</v>
      </c>
    </row>
    <row r="20" spans="2:7" x14ac:dyDescent="0.2">
      <c r="F20" s="27"/>
      <c r="G20" s="28" t="s">
        <v>105</v>
      </c>
    </row>
    <row r="21" spans="2:7" ht="12.75" x14ac:dyDescent="0.2">
      <c r="B21" s="11" t="s">
        <v>89</v>
      </c>
      <c r="C21" s="20"/>
      <c r="F21" s="27"/>
      <c r="G21" s="30" t="s">
        <v>106</v>
      </c>
    </row>
    <row r="22" spans="2:7" x14ac:dyDescent="0.2">
      <c r="B22" s="8" t="str">
        <f>_xlfn.IFNA(INDEX(MasterSheet!$B$2:$B$100,MATCH('Meal Generator'!C22,MasterSheet!$A$2:$A$100,0)),"N/A")</f>
        <v>Black Bean and Sweet Potato Chilli</v>
      </c>
      <c r="C22" s="33">
        <v>8</v>
      </c>
      <c r="D22" s="2" cm="1">
        <f t="array" aca="1" ref="D22:D27" ca="1">INDEX(_xlfn.UNIQUE(_xlfn.RANDARRAY($C$15^2,1,1,C13,TRUE)),_xlfn.SEQUENCE($C$15))</f>
        <v>4</v>
      </c>
      <c r="F22" s="27"/>
      <c r="G22" s="31"/>
    </row>
    <row r="23" spans="2:7" x14ac:dyDescent="0.2">
      <c r="B23" s="8" t="str">
        <f>_xlfn.IFNA(INDEX(MasterSheet!$B$2:$B$100,MATCH('Meal Generator'!C23,MasterSheet!$A$2:$A$100,0)),"N/A")</f>
        <v>Chicken Curry</v>
      </c>
      <c r="C23" s="33">
        <v>1</v>
      </c>
      <c r="D23" s="2">
        <f ca="1"/>
        <v>10</v>
      </c>
      <c r="F23" s="27"/>
      <c r="G23" s="31"/>
    </row>
    <row r="24" spans="2:7" x14ac:dyDescent="0.2">
      <c r="B24" s="8" t="str">
        <f>_xlfn.IFNA(INDEX(MasterSheet!$B$2:$B$100,MATCH('Meal Generator'!C24,MasterSheet!$A$2:$A$100,0)),"N/A")</f>
        <v>Chicken Stir Fry</v>
      </c>
      <c r="C24" s="33">
        <v>2</v>
      </c>
      <c r="D24" s="2">
        <f ca="1"/>
        <v>6</v>
      </c>
      <c r="F24" s="27"/>
      <c r="G24" s="31"/>
    </row>
    <row r="25" spans="2:7" x14ac:dyDescent="0.2">
      <c r="B25" s="8" t="str">
        <f>_xlfn.IFNA(INDEX(MasterSheet!$B$2:$B$100,MATCH('Meal Generator'!C25,MasterSheet!$A$2:$A$100,0)),"N/A")</f>
        <v>Slow Cooker Chicken and Vegetable Curry</v>
      </c>
      <c r="C25" s="33">
        <v>11</v>
      </c>
      <c r="D25" s="2">
        <f ca="1"/>
        <v>7</v>
      </c>
      <c r="F25" s="27"/>
      <c r="G25" s="31"/>
    </row>
    <row r="26" spans="2:7" x14ac:dyDescent="0.2">
      <c r="B26" s="8" t="str">
        <f>_xlfn.IFNA(INDEX(MasterSheet!$B$2:$B$100,MATCH('Meal Generator'!C26,MasterSheet!$A$2:$A$100,0)),"N/A")</f>
        <v>Pulled chicken &amp; black bean chilli</v>
      </c>
      <c r="C26" s="33">
        <v>5</v>
      </c>
      <c r="D26" s="2">
        <f ca="1"/>
        <v>3</v>
      </c>
      <c r="F26" s="27"/>
      <c r="G26" s="31"/>
    </row>
    <row r="27" spans="2:7" x14ac:dyDescent="0.2">
      <c r="B27" s="9" t="str">
        <f>_xlfn.IFNA(INDEX(MasterSheet!$B$2:$B$100,MATCH('Meal Generator'!C27,MasterSheet!$A$2:$A$100,0)),"N/A")</f>
        <v>Vegetable and Bean Soup</v>
      </c>
      <c r="C27" s="34">
        <v>10</v>
      </c>
      <c r="D27" s="2">
        <f ca="1"/>
        <v>2</v>
      </c>
      <c r="F27" s="32"/>
      <c r="G27" s="24"/>
    </row>
    <row r="28" spans="2:7" x14ac:dyDescent="0.2"/>
    <row r="29" spans="2:7" ht="18.75" x14ac:dyDescent="0.3">
      <c r="B29" s="5" t="s">
        <v>90</v>
      </c>
    </row>
    <row r="30" spans="2:7" ht="5.25" customHeight="1" x14ac:dyDescent="0.3">
      <c r="B30" s="5"/>
    </row>
    <row r="31" spans="2:7" ht="12.75" x14ac:dyDescent="0.2">
      <c r="B31" s="11" t="s">
        <v>91</v>
      </c>
      <c r="C31" s="10" t="s">
        <v>92</v>
      </c>
    </row>
    <row r="32" spans="2:7" x14ac:dyDescent="0.2">
      <c r="B32" s="8" t="str" cm="1">
        <f t="array" ref="B32:B59">_xlfn.UNIQUE(_xlfn._xlws.FILTER(MasterSheet!C2:C100,(
MasterSheet!B2:B100='Meal Generator'!B22)
+ (MasterSheet!B2:B100='Meal Generator'!B23)
+(MasterSheet!B2:B100='Meal Generator'!B24)
+(MasterSheet!B2:B100='Meal Generator'!B25)
+(MasterSheet!B2:B100='Meal Generator'!B26)
+(MasterSheet!B2:B100='Meal Generator'!B27)
))</f>
        <v>Chicken Breast</v>
      </c>
      <c r="C32" s="19">
        <f>COUNTIFS(MasterSheet!$B$2:$B$100, $B$22,MasterSheet!$C$2:$C$100, $B32)
+COUNTIFS(MasterSheet!$B$2:$B$100, $B$23,MasterSheet!$C$2:$C$100, $B32)
+COUNTIFS(MasterSheet!$B$2:$B$100, $B$24,MasterSheet!C$2:$C$100, $B32)
+COUNTIFS(MasterSheet!$B$2:$B$100, $B$25,MasterSheet!$C$2:$C$100, $B32)
+COUNTIFS(MasterSheet!$B$2:$B$100, $B$26,MasterSheet!$C$2:$C$100, $B32)
+COUNTIFS(MasterSheet!$B$2:$B$100, $B$27,MasterSheet!$C$2:$C$100, $B32)</f>
        <v>2</v>
      </c>
    </row>
    <row r="33" spans="2:3" x14ac:dyDescent="0.2">
      <c r="B33" s="8" t="str">
        <v>Brown Rice</v>
      </c>
      <c r="C33" s="19">
        <f>COUNTIFS(MasterSheet!$B$2:$B$100, $B$22,MasterSheet!$C$2:$C$100, $B33)
+COUNTIFS(MasterSheet!$B$2:$B$100, $B$23,MasterSheet!$C$2:$C$100, $B33)
+COUNTIFS(MasterSheet!$B$2:$B$100, $B$24,MasterSheet!C$2:$C$100, $B33)
+COUNTIFS(MasterSheet!$B$2:$B$100, $B$25,MasterSheet!$C$2:$C$100, $B33)
+COUNTIFS(MasterSheet!$B$2:$B$100, $B$26,MasterSheet!$C$2:$C$100, $B33)
+COUNTIFS(MasterSheet!$B$2:$B$100, $B$27,MasterSheet!$C$2:$C$100, $B33)</f>
        <v>2</v>
      </c>
    </row>
    <row r="34" spans="2:3" x14ac:dyDescent="0.2">
      <c r="B34" s="8" t="str">
        <v>2 x Curry Sauce</v>
      </c>
      <c r="C34" s="19">
        <f>COUNTIFS(MasterSheet!$B$2:$B$100, $B$22,MasterSheet!$C$2:$C$100, $B34)
+COUNTIFS(MasterSheet!$B$2:$B$100, $B$23,MasterSheet!$C$2:$C$100, $B34)
+COUNTIFS(MasterSheet!$B$2:$B$100, $B$24,MasterSheet!C$2:$C$100, $B34)
+COUNTIFS(MasterSheet!$B$2:$B$100, $B$25,MasterSheet!$C$2:$C$100, $B34)
+COUNTIFS(MasterSheet!$B$2:$B$100, $B$26,MasterSheet!$C$2:$C$100, $B34)
+COUNTIFS(MasterSheet!$B$2:$B$100, $B$27,MasterSheet!$C$2:$C$100, $B34)</f>
        <v>1</v>
      </c>
    </row>
    <row r="35" spans="2:3" x14ac:dyDescent="0.2">
      <c r="B35" s="8" t="str">
        <v>Frozen Vegetables</v>
      </c>
      <c r="C35" s="19">
        <f>COUNTIFS(MasterSheet!$B$2:$B$100, $B$22,MasterSheet!$C$2:$C$100, $B35)
+COUNTIFS(MasterSheet!$B$2:$B$100, $B$23,MasterSheet!$C$2:$C$100, $B35)
+COUNTIFS(MasterSheet!$B$2:$B$100, $B$24,MasterSheet!C$2:$C$100, $B35)
+COUNTIFS(MasterSheet!$B$2:$B$100, $B$25,MasterSheet!$C$2:$C$100, $B35)
+COUNTIFS(MasterSheet!$B$2:$B$100, $B$26,MasterSheet!$C$2:$C$100, $B35)
+COUNTIFS(MasterSheet!$B$2:$B$100, $B$27,MasterSheet!$C$2:$C$100, $B35)</f>
        <v>1</v>
      </c>
    </row>
    <row r="36" spans="2:3" x14ac:dyDescent="0.2">
      <c r="B36" s="8" t="str">
        <v>Chicken Thigh</v>
      </c>
      <c r="C36" s="19">
        <f>COUNTIFS(MasterSheet!$B$2:$B$100, $B$22,MasterSheet!$C$2:$C$100, $B36)
+COUNTIFS(MasterSheet!$B$2:$B$100, $B$23,MasterSheet!$C$2:$C$100, $B36)
+COUNTIFS(MasterSheet!$B$2:$B$100, $B$24,MasterSheet!C$2:$C$100, $B36)
+COUNTIFS(MasterSheet!$B$2:$B$100, $B$25,MasterSheet!$C$2:$C$100, $B36)
+COUNTIFS(MasterSheet!$B$2:$B$100, $B$26,MasterSheet!$C$2:$C$100, $B36)
+COUNTIFS(MasterSheet!$B$2:$B$100, $B$27,MasterSheet!$C$2:$C$100, $B36)</f>
        <v>2</v>
      </c>
    </row>
    <row r="37" spans="2:3" x14ac:dyDescent="0.2">
      <c r="B37" s="8" t="str">
        <v>Noodles</v>
      </c>
      <c r="C37" s="19">
        <f>COUNTIFS(MasterSheet!$B$2:$B$100, $B$22,MasterSheet!$C$2:$C$100, $B37)
+COUNTIFS(MasterSheet!$B$2:$B$100, $B$23,MasterSheet!$C$2:$C$100, $B37)
+COUNTIFS(MasterSheet!$B$2:$B$100, $B$24,MasterSheet!C$2:$C$100, $B37)
+COUNTIFS(MasterSheet!$B$2:$B$100, $B$25,MasterSheet!$C$2:$C$100, $B37)
+COUNTIFS(MasterSheet!$B$2:$B$100, $B$26,MasterSheet!$C$2:$C$100, $B37)
+COUNTIFS(MasterSheet!$B$2:$B$100, $B$27,MasterSheet!$C$2:$C$100, $B37)</f>
        <v>1</v>
      </c>
    </row>
    <row r="38" spans="2:3" x14ac:dyDescent="0.2">
      <c r="B38" s="8" t="str">
        <v>Stirfry Sauce/Spices</v>
      </c>
      <c r="C38" s="19">
        <f>COUNTIFS(MasterSheet!$B$2:$B$100, $B$22,MasterSheet!$C$2:$C$100, $B38)
+COUNTIFS(MasterSheet!$B$2:$B$100, $B$23,MasterSheet!$C$2:$C$100, $B38)
+COUNTIFS(MasterSheet!$B$2:$B$100, $B$24,MasterSheet!C$2:$C$100, $B38)
+COUNTIFS(MasterSheet!$B$2:$B$100, $B$25,MasterSheet!$C$2:$C$100, $B38)
+COUNTIFS(MasterSheet!$B$2:$B$100, $B$26,MasterSheet!$C$2:$C$100, $B38)
+COUNTIFS(MasterSheet!$B$2:$B$100, $B$27,MasterSheet!$C$2:$C$100, $B38)</f>
        <v>1</v>
      </c>
    </row>
    <row r="39" spans="2:3" x14ac:dyDescent="0.2">
      <c r="B39" s="8" t="str">
        <v>StirFry Vegetables</v>
      </c>
      <c r="C39" s="19">
        <f>COUNTIFS(MasterSheet!$B$2:$B$100, $B$22,MasterSheet!$C$2:$C$100, $B39)
+COUNTIFS(MasterSheet!$B$2:$B$100, $B$23,MasterSheet!$C$2:$C$100, $B39)
+COUNTIFS(MasterSheet!$B$2:$B$100, $B$24,MasterSheet!C$2:$C$100, $B39)
+COUNTIFS(MasterSheet!$B$2:$B$100, $B$25,MasterSheet!$C$2:$C$100, $B39)
+COUNTIFS(MasterSheet!$B$2:$B$100, $B$26,MasterSheet!$C$2:$C$100, $B39)
+COUNTIFS(MasterSheet!$B$2:$B$100, $B$27,MasterSheet!$C$2:$C$100, $B39)</f>
        <v>1</v>
      </c>
    </row>
    <row r="40" spans="2:3" x14ac:dyDescent="0.2">
      <c r="B40" s="8" t="str">
        <v>Onion</v>
      </c>
      <c r="C40" s="19">
        <f>COUNTIFS(MasterSheet!$B$2:$B$100, $B$22,MasterSheet!$C$2:$C$100, $B40)
+COUNTIFS(MasterSheet!$B$2:$B$100, $B$23,MasterSheet!$C$2:$C$100, $B40)
+COUNTIFS(MasterSheet!$B$2:$B$100, $B$24,MasterSheet!C$2:$C$100, $B40)
+COUNTIFS(MasterSheet!$B$2:$B$100, $B$25,MasterSheet!$C$2:$C$100, $B40)
+COUNTIFS(MasterSheet!$B$2:$B$100, $B$26,MasterSheet!$C$2:$C$100, $B40)
+COUNTIFS(MasterSheet!$B$2:$B$100, $B$27,MasterSheet!$C$2:$C$100, $B40)</f>
        <v>4</v>
      </c>
    </row>
    <row r="41" spans="2:3" x14ac:dyDescent="0.2">
      <c r="B41" s="8" t="str">
        <v>Garlic</v>
      </c>
      <c r="C41" s="19">
        <f>COUNTIFS(MasterSheet!$B$2:$B$100, $B$22,MasterSheet!$C$2:$C$100, $B41)
+COUNTIFS(MasterSheet!$B$2:$B$100, $B$23,MasterSheet!$C$2:$C$100, $B41)
+COUNTIFS(MasterSheet!$B$2:$B$100, $B$24,MasterSheet!C$2:$C$100, $B41)
+COUNTIFS(MasterSheet!$B$2:$B$100, $B$25,MasterSheet!$C$2:$C$100, $B41)
+COUNTIFS(MasterSheet!$B$2:$B$100, $B$26,MasterSheet!$C$2:$C$100, $B41)
+COUNTIFS(MasterSheet!$B$2:$B$100, $B$27,MasterSheet!$C$2:$C$100, $B41)</f>
        <v>2</v>
      </c>
    </row>
    <row r="42" spans="2:3" x14ac:dyDescent="0.2">
      <c r="B42" s="8" t="str">
        <v>Black Beans</v>
      </c>
      <c r="C42" s="19">
        <f>COUNTIFS(MasterSheet!$B$2:$B$100, $B$22,MasterSheet!$C$2:$C$100, $B42)
+COUNTIFS(MasterSheet!$B$2:$B$100, $B$23,MasterSheet!$C$2:$C$100, $B42)
+COUNTIFS(MasterSheet!$B$2:$B$100, $B$24,MasterSheet!C$2:$C$100, $B42)
+COUNTIFS(MasterSheet!$B$2:$B$100, $B$25,MasterSheet!$C$2:$C$100, $B42)
+COUNTIFS(MasterSheet!$B$2:$B$100, $B$26,MasterSheet!$C$2:$C$100, $B42)
+COUNTIFS(MasterSheet!$B$2:$B$100, $B$27,MasterSheet!$C$2:$C$100, $B42)</f>
        <v>2</v>
      </c>
    </row>
    <row r="43" spans="2:3" x14ac:dyDescent="0.2">
      <c r="B43" s="8" t="str">
        <v>Passata</v>
      </c>
      <c r="C43" s="19">
        <f>COUNTIFS(MasterSheet!$B$2:$B$100, $B$22,MasterSheet!$C$2:$C$100, $B43)
+COUNTIFS(MasterSheet!$B$2:$B$100, $B$23,MasterSheet!$C$2:$C$100, $B43)
+COUNTIFS(MasterSheet!$B$2:$B$100, $B$24,MasterSheet!C$2:$C$100, $B43)
+COUNTIFS(MasterSheet!$B$2:$B$100, $B$25,MasterSheet!$C$2:$C$100, $B43)
+COUNTIFS(MasterSheet!$B$2:$B$100, $B$26,MasterSheet!$C$2:$C$100, $B43)
+COUNTIFS(MasterSheet!$B$2:$B$100, $B$27,MasterSheet!$C$2:$C$100, $B43)</f>
        <v>1</v>
      </c>
    </row>
    <row r="44" spans="2:3" x14ac:dyDescent="0.2">
      <c r="B44" s="8" t="str">
        <v>Chipotle</v>
      </c>
      <c r="C44" s="19">
        <f>COUNTIFS(MasterSheet!$B$2:$B$100, $B$22,MasterSheet!$C$2:$C$100, $B44)
+COUNTIFS(MasterSheet!$B$2:$B$100, $B$23,MasterSheet!$C$2:$C$100, $B44)
+COUNTIFS(MasterSheet!$B$2:$B$100, $B$24,MasterSheet!C$2:$C$100, $B44)
+COUNTIFS(MasterSheet!$B$2:$B$100, $B$25,MasterSheet!$C$2:$C$100, $B44)
+COUNTIFS(MasterSheet!$B$2:$B$100, $B$26,MasterSheet!$C$2:$C$100, $B44)
+COUNTIFS(MasterSheet!$B$2:$B$100, $B$27,MasterSheet!$C$2:$C$100, $B44)</f>
        <v>1</v>
      </c>
    </row>
    <row r="45" spans="2:3" x14ac:dyDescent="0.2">
      <c r="B45" s="8" t="str">
        <v>Red Onion</v>
      </c>
      <c r="C45" s="19">
        <f>COUNTIFS(MasterSheet!$B$2:$B$100, $B$22,MasterSheet!$C$2:$C$100, $B45)
+COUNTIFS(MasterSheet!$B$2:$B$100, $B$23,MasterSheet!$C$2:$C$100, $B45)
+COUNTIFS(MasterSheet!$B$2:$B$100, $B$24,MasterSheet!C$2:$C$100, $B45)
+COUNTIFS(MasterSheet!$B$2:$B$100, $B$25,MasterSheet!$C$2:$C$100, $B45)
+COUNTIFS(MasterSheet!$B$2:$B$100, $B$26,MasterSheet!$C$2:$C$100, $B45)
+COUNTIFS(MasterSheet!$B$2:$B$100, $B$27,MasterSheet!$C$2:$C$100, $B45)</f>
        <v>1</v>
      </c>
    </row>
    <row r="46" spans="2:3" x14ac:dyDescent="0.2">
      <c r="B46" s="8" t="str">
        <v>Cloves</v>
      </c>
      <c r="C46" s="19">
        <f>COUNTIFS(MasterSheet!$B$2:$B$100, $B$22,MasterSheet!$C$2:$C$100, $B46)
+COUNTIFS(MasterSheet!$B$2:$B$100, $B$23,MasterSheet!$C$2:$C$100, $B46)
+COUNTIFS(MasterSheet!$B$2:$B$100, $B$24,MasterSheet!C$2:$C$100, $B46)
+COUNTIFS(MasterSheet!$B$2:$B$100, $B$25,MasterSheet!$C$2:$C$100, $B46)
+COUNTIFS(MasterSheet!$B$2:$B$100, $B$26,MasterSheet!$C$2:$C$100, $B46)
+COUNTIFS(MasterSheet!$B$2:$B$100, $B$27,MasterSheet!$C$2:$C$100, $B46)</f>
        <v>1</v>
      </c>
    </row>
    <row r="47" spans="2:3" x14ac:dyDescent="0.2">
      <c r="B47" s="8" t="str">
        <v>Bell Pepper</v>
      </c>
      <c r="C47" s="19">
        <f>COUNTIFS(MasterSheet!$B$2:$B$100, $B$22,MasterSheet!$C$2:$C$100, $B47)
+COUNTIFS(MasterSheet!$B$2:$B$100, $B$23,MasterSheet!$C$2:$C$100, $B47)
+COUNTIFS(MasterSheet!$B$2:$B$100, $B$24,MasterSheet!C$2:$C$100, $B47)
+COUNTIFS(MasterSheet!$B$2:$B$100, $B$25,MasterSheet!$C$2:$C$100, $B47)
+COUNTIFS(MasterSheet!$B$2:$B$100, $B$26,MasterSheet!$C$2:$C$100, $B47)
+COUNTIFS(MasterSheet!$B$2:$B$100, $B$27,MasterSheet!$C$2:$C$100, $B47)</f>
        <v>2</v>
      </c>
    </row>
    <row r="48" spans="2:3" x14ac:dyDescent="0.2">
      <c r="B48" s="8" t="str">
        <v>Sweet Potatoes</v>
      </c>
      <c r="C48" s="19">
        <f>COUNTIFS(MasterSheet!$B$2:$B$100, $B$22,MasterSheet!$C$2:$C$100, $B48)
+COUNTIFS(MasterSheet!$B$2:$B$100, $B$23,MasterSheet!$C$2:$C$100, $B48)
+COUNTIFS(MasterSheet!$B$2:$B$100, $B$24,MasterSheet!C$2:$C$100, $B48)
+COUNTIFS(MasterSheet!$B$2:$B$100, $B$25,MasterSheet!$C$2:$C$100, $B48)
+COUNTIFS(MasterSheet!$B$2:$B$100, $B$26,MasterSheet!$C$2:$C$100, $B48)
+COUNTIFS(MasterSheet!$B$2:$B$100, $B$27,MasterSheet!$C$2:$C$100, $B48)</f>
        <v>2</v>
      </c>
    </row>
    <row r="49" spans="2:3" x14ac:dyDescent="0.2">
      <c r="B49" s="8" t="str">
        <v>Tomatoes</v>
      </c>
      <c r="C49" s="19">
        <f>COUNTIFS(MasterSheet!$B$2:$B$100, $B$22,MasterSheet!$C$2:$C$100, $B49)
+COUNTIFS(MasterSheet!$B$2:$B$100, $B$23,MasterSheet!$C$2:$C$100, $B49)
+COUNTIFS(MasterSheet!$B$2:$B$100, $B$24,MasterSheet!C$2:$C$100, $B49)
+COUNTIFS(MasterSheet!$B$2:$B$100, $B$25,MasterSheet!$C$2:$C$100, $B49)
+COUNTIFS(MasterSheet!$B$2:$B$100, $B$26,MasterSheet!$C$2:$C$100, $B49)
+COUNTIFS(MasterSheet!$B$2:$B$100, $B$27,MasterSheet!$C$2:$C$100, $B49)</f>
        <v>2</v>
      </c>
    </row>
    <row r="50" spans="2:3" x14ac:dyDescent="0.2">
      <c r="B50" s="8" t="str">
        <v>Chilli Powder</v>
      </c>
      <c r="C50" s="19">
        <f>COUNTIFS(MasterSheet!$B$2:$B$100, $B$22,MasterSheet!$C$2:$C$100, $B50)
+COUNTIFS(MasterSheet!$B$2:$B$100, $B$23,MasterSheet!$C$2:$C$100, $B50)
+COUNTIFS(MasterSheet!$B$2:$B$100, $B$24,MasterSheet!C$2:$C$100, $B50)
+COUNTIFS(MasterSheet!$B$2:$B$100, $B$25,MasterSheet!$C$2:$C$100, $B50)
+COUNTIFS(MasterSheet!$B$2:$B$100, $B$26,MasterSheet!$C$2:$C$100, $B50)
+COUNTIFS(MasterSheet!$B$2:$B$100, $B$27,MasterSheet!$C$2:$C$100, $B50)</f>
        <v>1</v>
      </c>
    </row>
    <row r="51" spans="2:3" x14ac:dyDescent="0.2">
      <c r="B51" s="8" t="str">
        <v>Quinoa</v>
      </c>
      <c r="C51" s="19">
        <f>COUNTIFS(MasterSheet!$B$2:$B$100, $B$22,MasterSheet!$C$2:$C$100, $B51)
+COUNTIFS(MasterSheet!$B$2:$B$100, $B$23,MasterSheet!$C$2:$C$100, $B51)
+COUNTIFS(MasterSheet!$B$2:$B$100, $B$24,MasterSheet!C$2:$C$100, $B51)
+COUNTIFS(MasterSheet!$B$2:$B$100, $B$25,MasterSheet!$C$2:$C$100, $B51)
+COUNTIFS(MasterSheet!$B$2:$B$100, $B$26,MasterSheet!$C$2:$C$100, $B51)
+COUNTIFS(MasterSheet!$B$2:$B$100, $B$27,MasterSheet!$C$2:$C$100, $B51)</f>
        <v>1</v>
      </c>
    </row>
    <row r="52" spans="2:3" x14ac:dyDescent="0.2">
      <c r="B52" s="8" t="str">
        <v>Carrot</v>
      </c>
      <c r="C52" s="19">
        <f>COUNTIFS(MasterSheet!$B$2:$B$100, $B$22,MasterSheet!$C$2:$C$100, $B52)
+COUNTIFS(MasterSheet!$B$2:$B$100, $B$23,MasterSheet!$C$2:$C$100, $B52)
+COUNTIFS(MasterSheet!$B$2:$B$100, $B$24,MasterSheet!C$2:$C$100, $B52)
+COUNTIFS(MasterSheet!$B$2:$B$100, $B$25,MasterSheet!$C$2:$C$100, $B52)
+COUNTIFS(MasterSheet!$B$2:$B$100, $B$26,MasterSheet!$C$2:$C$100, $B52)
+COUNTIFS(MasterSheet!$B$2:$B$100, $B$27,MasterSheet!$C$2:$C$100, $B52)</f>
        <v>1</v>
      </c>
    </row>
    <row r="53" spans="2:3" x14ac:dyDescent="0.2">
      <c r="B53" s="8" t="str">
        <v>Celery</v>
      </c>
      <c r="C53" s="19">
        <f>COUNTIFS(MasterSheet!$B$2:$B$100, $B$22,MasterSheet!$C$2:$C$100, $B53)
+COUNTIFS(MasterSheet!$B$2:$B$100, $B$23,MasterSheet!$C$2:$C$100, $B53)
+COUNTIFS(MasterSheet!$B$2:$B$100, $B$24,MasterSheet!C$2:$C$100, $B53)
+COUNTIFS(MasterSheet!$B$2:$B$100, $B$25,MasterSheet!$C$2:$C$100, $B53)
+COUNTIFS(MasterSheet!$B$2:$B$100, $B$26,MasterSheet!$C$2:$C$100, $B53)
+COUNTIFS(MasterSheet!$B$2:$B$100, $B$27,MasterSheet!$C$2:$C$100, $B53)</f>
        <v>1</v>
      </c>
    </row>
    <row r="54" spans="2:3" x14ac:dyDescent="0.2">
      <c r="B54" s="8" t="str">
        <v>Potatoes</v>
      </c>
      <c r="C54" s="19">
        <f>COUNTIFS(MasterSheet!$B$2:$B$100, $B$22,MasterSheet!$C$2:$C$100, $B54)
+COUNTIFS(MasterSheet!$B$2:$B$100, $B$23,MasterSheet!$C$2:$C$100, $B54)
+COUNTIFS(MasterSheet!$B$2:$B$100, $B$24,MasterSheet!C$2:$C$100, $B54)
+COUNTIFS(MasterSheet!$B$2:$B$100, $B$25,MasterSheet!$C$2:$C$100, $B54)
+COUNTIFS(MasterSheet!$B$2:$B$100, $B$26,MasterSheet!$C$2:$C$100, $B54)
+COUNTIFS(MasterSheet!$B$2:$B$100, $B$27,MasterSheet!$C$2:$C$100, $B54)</f>
        <v>1</v>
      </c>
    </row>
    <row r="55" spans="2:3" x14ac:dyDescent="0.2">
      <c r="B55" s="8" t="str">
        <v>Vegetable Broth</v>
      </c>
      <c r="C55" s="19">
        <f>COUNTIFS(MasterSheet!$B$2:$B$100, $B$22,MasterSheet!$C$2:$C$100, $B55)
+COUNTIFS(MasterSheet!$B$2:$B$100, $B$23,MasterSheet!$C$2:$C$100, $B55)
+COUNTIFS(MasterSheet!$B$2:$B$100, $B$24,MasterSheet!C$2:$C$100, $B55)
+COUNTIFS(MasterSheet!$B$2:$B$100, $B$25,MasterSheet!$C$2:$C$100, $B55)
+COUNTIFS(MasterSheet!$B$2:$B$100, $B$26,MasterSheet!$C$2:$C$100, $B55)
+COUNTIFS(MasterSheet!$B$2:$B$100, $B$27,MasterSheet!$C$2:$C$100, $B55)</f>
        <v>1</v>
      </c>
    </row>
    <row r="56" spans="2:3" x14ac:dyDescent="0.2">
      <c r="B56" s="8" t="str">
        <v>Chickpeas</v>
      </c>
      <c r="C56" s="19">
        <f>COUNTIFS(MasterSheet!$B$2:$B$100, $B$22,MasterSheet!$C$2:$C$100, $B56)
+COUNTIFS(MasterSheet!$B$2:$B$100, $B$23,MasterSheet!$C$2:$C$100, $B56)
+COUNTIFS(MasterSheet!$B$2:$B$100, $B$24,MasterSheet!C$2:$C$100, $B56)
+COUNTIFS(MasterSheet!$B$2:$B$100, $B$25,MasterSheet!$C$2:$C$100, $B56)
+COUNTIFS(MasterSheet!$B$2:$B$100, $B$26,MasterSheet!$C$2:$C$100, $B56)
+COUNTIFS(MasterSheet!$B$2:$B$100, $B$27,MasterSheet!$C$2:$C$100, $B56)</f>
        <v>1</v>
      </c>
    </row>
    <row r="57" spans="2:3" x14ac:dyDescent="0.2">
      <c r="B57" s="8" t="str">
        <v>Thyme</v>
      </c>
      <c r="C57" s="19">
        <f>COUNTIFS(MasterSheet!$B$2:$B$100, $B$22,MasterSheet!$C$2:$C$100, $B57)
+COUNTIFS(MasterSheet!$B$2:$B$100, $B$23,MasterSheet!$C$2:$C$100, $B57)
+COUNTIFS(MasterSheet!$B$2:$B$100, $B$24,MasterSheet!C$2:$C$100, $B57)
+COUNTIFS(MasterSheet!$B$2:$B$100, $B$25,MasterSheet!$C$2:$C$100, $B57)
+COUNTIFS(MasterSheet!$B$2:$B$100, $B$26,MasterSheet!$C$2:$C$100, $B57)
+COUNTIFS(MasterSheet!$B$2:$B$100, $B$27,MasterSheet!$C$2:$C$100, $B57)</f>
        <v>1</v>
      </c>
    </row>
    <row r="58" spans="2:3" x14ac:dyDescent="0.2">
      <c r="B58" s="8" t="str">
        <v>Coconut Milk</v>
      </c>
      <c r="C58" s="19">
        <f>COUNTIFS(MasterSheet!$B$2:$B$100, $B$22,MasterSheet!$C$2:$C$100, $B58)
+COUNTIFS(MasterSheet!$B$2:$B$100, $B$23,MasterSheet!$C$2:$C$100, $B58)
+COUNTIFS(MasterSheet!$B$2:$B$100, $B$24,MasterSheet!C$2:$C$100, $B58)
+COUNTIFS(MasterSheet!$B$2:$B$100, $B$25,MasterSheet!$C$2:$C$100, $B58)
+COUNTIFS(MasterSheet!$B$2:$B$100, $B$26,MasterSheet!$C$2:$C$100, $B58)
+COUNTIFS(MasterSheet!$B$2:$B$100, $B$27,MasterSheet!$C$2:$C$100, $B58)</f>
        <v>1</v>
      </c>
    </row>
    <row r="59" spans="2:3" x14ac:dyDescent="0.2">
      <c r="B59" s="8" t="str">
        <v>Curry Paste</v>
      </c>
      <c r="C59" s="19">
        <f>COUNTIFS(MasterSheet!$B$2:$B$100, $B$22,MasterSheet!$C$2:$C$100, $B59)
+COUNTIFS(MasterSheet!$B$2:$B$100, $B$23,MasterSheet!$C$2:$C$100, $B59)
+COUNTIFS(MasterSheet!$B$2:$B$100, $B$24,MasterSheet!C$2:$C$100, $B59)
+COUNTIFS(MasterSheet!$B$2:$B$100, $B$25,MasterSheet!$C$2:$C$100, $B59)
+COUNTIFS(MasterSheet!$B$2:$B$100, $B$26,MasterSheet!$C$2:$C$100, $B59)
+COUNTIFS(MasterSheet!$B$2:$B$100, $B$27,MasterSheet!$C$2:$C$100, $B59)</f>
        <v>1</v>
      </c>
    </row>
    <row r="60" spans="2:3" x14ac:dyDescent="0.2">
      <c r="B60" s="8"/>
      <c r="C60" s="19">
        <f>COUNTIFS(MasterSheet!$B$2:$B$100, $B$22,MasterSheet!$C$2:$C$100, $B60)
+COUNTIFS(MasterSheet!$B$2:$B$100, $B$23,MasterSheet!$C$2:$C$100, $B60)
+COUNTIFS(MasterSheet!$B$2:$B$100, $B$24,MasterSheet!C$2:$C$100, $B60)
+COUNTIFS(MasterSheet!$B$2:$B$100, $B$25,MasterSheet!$C$2:$C$100, $B60)
+COUNTIFS(MasterSheet!$B$2:$B$100, $B$26,MasterSheet!$C$2:$C$100, $B60)
+COUNTIFS(MasterSheet!$B$2:$B$100, $B$27,MasterSheet!$C$2:$C$100, $B60)</f>
        <v>0</v>
      </c>
    </row>
    <row r="61" spans="2:3" x14ac:dyDescent="0.2">
      <c r="B61" s="8"/>
      <c r="C61" s="19">
        <f>COUNTIFS(MasterSheet!$B$2:$B$100, $B$22,MasterSheet!$C$2:$C$100, $B61)
+COUNTIFS(MasterSheet!$B$2:$B$100, $B$23,MasterSheet!$C$2:$C$100, $B61)
+COUNTIFS(MasterSheet!$B$2:$B$100, $B$24,MasterSheet!C$2:$C$100, $B61)
+COUNTIFS(MasterSheet!$B$2:$B$100, $B$25,MasterSheet!$C$2:$C$100, $B61)
+COUNTIFS(MasterSheet!$B$2:$B$100, $B$26,MasterSheet!$C$2:$C$100, $B61)
+COUNTIFS(MasterSheet!$B$2:$B$100, $B$27,MasterSheet!$C$2:$C$100, $B61)</f>
        <v>0</v>
      </c>
    </row>
    <row r="62" spans="2:3" x14ac:dyDescent="0.2">
      <c r="B62" s="8"/>
      <c r="C62" s="19">
        <f>COUNTIFS(MasterSheet!$B$2:$B$100, $B$22,MasterSheet!$C$2:$C$100, $B62)
+COUNTIFS(MasterSheet!$B$2:$B$100, $B$23,MasterSheet!$C$2:$C$100, $B62)
+COUNTIFS(MasterSheet!$B$2:$B$100, $B$24,MasterSheet!C$2:$C$100, $B62)
+COUNTIFS(MasterSheet!$B$2:$B$100, $B$25,MasterSheet!$C$2:$C$100, $B62)
+COUNTIFS(MasterSheet!$B$2:$B$100, $B$26,MasterSheet!$C$2:$C$100, $B62)
+COUNTIFS(MasterSheet!$B$2:$B$100, $B$27,MasterSheet!$C$2:$C$100, $B62)</f>
        <v>0</v>
      </c>
    </row>
    <row r="63" spans="2:3" x14ac:dyDescent="0.2">
      <c r="B63" s="8"/>
      <c r="C63" s="19">
        <f>COUNTIFS(MasterSheet!$B$2:$B$100, $B$22,MasterSheet!$C$2:$C$100, $B63)
+COUNTIFS(MasterSheet!$B$2:$B$100, $B$23,MasterSheet!$C$2:$C$100, $B63)
+COUNTIFS(MasterSheet!$B$2:$B$100, $B$24,MasterSheet!C$2:$C$100, $B63)
+COUNTIFS(MasterSheet!$B$2:$B$100, $B$25,MasterSheet!$C$2:$C$100, $B63)
+COUNTIFS(MasterSheet!$B$2:$B$100, $B$26,MasterSheet!$C$2:$C$100, $B63)
+COUNTIFS(MasterSheet!$B$2:$B$100, $B$27,MasterSheet!$C$2:$C$100, $B63)</f>
        <v>0</v>
      </c>
    </row>
    <row r="64" spans="2:3" x14ac:dyDescent="0.2">
      <c r="B64" s="8"/>
      <c r="C64" s="19">
        <f>COUNTIFS(MasterSheet!$B$2:$B$100, $B$22,MasterSheet!$C$2:$C$100, $B64)
+COUNTIFS(MasterSheet!$B$2:$B$100, $B$23,MasterSheet!$C$2:$C$100, $B64)
+COUNTIFS(MasterSheet!$B$2:$B$100, $B$24,MasterSheet!C$2:$C$100, $B64)
+COUNTIFS(MasterSheet!$B$2:$B$100, $B$25,MasterSheet!$C$2:$C$100, $B64)
+COUNTIFS(MasterSheet!$B$2:$B$100, $B$26,MasterSheet!$C$2:$C$100, $B64)
+COUNTIFS(MasterSheet!$B$2:$B$100, $B$27,MasterSheet!$C$2:$C$100, $B64)</f>
        <v>0</v>
      </c>
    </row>
    <row r="65" spans="2:3" x14ac:dyDescent="0.2">
      <c r="B65" s="8"/>
      <c r="C65" s="19"/>
    </row>
    <row r="66" spans="2:3" x14ac:dyDescent="0.2">
      <c r="B66" s="8"/>
      <c r="C66" s="19"/>
    </row>
    <row r="67" spans="2:3" x14ac:dyDescent="0.2">
      <c r="B67" s="8"/>
      <c r="C67" s="12"/>
    </row>
    <row r="68" spans="2:3" x14ac:dyDescent="0.2">
      <c r="B68" s="8"/>
      <c r="C68" s="12"/>
    </row>
    <row r="69" spans="2:3" x14ac:dyDescent="0.2">
      <c r="B69" s="8"/>
      <c r="C69" s="12"/>
    </row>
    <row r="70" spans="2:3" x14ac:dyDescent="0.2"/>
    <row r="71" spans="2:3" x14ac:dyDescent="0.2"/>
    <row r="72" spans="2:3" x14ac:dyDescent="0.2"/>
    <row r="73" spans="2:3" x14ac:dyDescent="0.2"/>
    <row r="74" spans="2:3" x14ac:dyDescent="0.2"/>
    <row r="75" spans="2:3" x14ac:dyDescent="0.2"/>
    <row r="76" spans="2:3" x14ac:dyDescent="0.2"/>
    <row r="77" spans="2:3" x14ac:dyDescent="0.2"/>
    <row r="78" spans="2:3" x14ac:dyDescent="0.2"/>
    <row r="79" spans="2:3" x14ac:dyDescent="0.2"/>
    <row r="80" spans="2:3" x14ac:dyDescent="0.2"/>
  </sheetData>
  <phoneticPr fontId="2" type="noConversion"/>
  <conditionalFormatting sqref="C22:C27">
    <cfRule type="duplicateValues" dxfId="1" priority="2"/>
  </conditionalFormatting>
  <conditionalFormatting sqref="B22:B27">
    <cfRule type="duplicateValues" dxfId="0" priority="1"/>
  </conditionalFormatting>
  <hyperlinks>
    <hyperlink ref="B5" location="MasterSheet!A1" display="Link to Mastersheet." xr:uid="{25E1C15F-D8D9-4DFA-BE37-6928CD92D505}"/>
    <hyperlink ref="G13" location="MasterSheet!A1" display="You may also wish to add a link to the recipe. The link to the Mastersheet is here." xr:uid="{2541AA91-0CC5-4C3F-859A-7BCF8D141ACE}"/>
    <hyperlink ref="G11:G12" location="MasterSheet!A1" display="1. Populate the Mastersheet of recipes with a list of recipes of your choosing. Remember to add a unique index for each recipe (1,2,3…)," xr:uid="{79E6AC7E-838A-40B2-B672-6BC46E2B376D}"/>
    <hyperlink ref="G21" r:id="rId1" xr:uid="{34D848F5-C0CC-4123-A2D1-AE378204112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34" r:id="rId5" name="Button 14">
              <controlPr defaultSize="0" print="0" autoFill="0" autoPict="0" macro="[0]!CopyPasteValues">
                <anchor moveWithCells="1" sizeWithCells="1">
                  <from>
                    <xdr:col>1</xdr:col>
                    <xdr:colOff>9525</xdr:colOff>
                    <xdr:row>18</xdr:row>
                    <xdr:rowOff>28575</xdr:rowOff>
                  </from>
                  <to>
                    <xdr:col>3</xdr:col>
                    <xdr:colOff>0</xdr:colOff>
                    <xdr:row>19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93CE1-088B-40DD-AD68-148AF5AC9532}">
  <sheetPr codeName="Sheet2"/>
  <dimension ref="A1"/>
  <sheetViews>
    <sheetView showGridLines="0" workbookViewId="0"/>
  </sheetViews>
  <sheetFormatPr defaultRowHeight="12" x14ac:dyDescent="0.2"/>
  <cols>
    <col min="1" max="16384" width="9" style="2"/>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916E2-89A7-424F-91C4-D4F562255DE1}">
  <sheetPr codeName="Sheet3">
    <tabColor rgb="FFFFC000"/>
  </sheetPr>
  <dimension ref="A1:F71"/>
  <sheetViews>
    <sheetView workbookViewId="0"/>
  </sheetViews>
  <sheetFormatPr defaultRowHeight="11.25" x14ac:dyDescent="0.15"/>
  <cols>
    <col min="2" max="2" width="28.625" customWidth="1"/>
    <col min="3" max="3" width="17.625" customWidth="1"/>
    <col min="4" max="4" width="33.5" customWidth="1"/>
    <col min="5" max="5" width="13.125" customWidth="1"/>
    <col min="6" max="6" width="24.75" customWidth="1"/>
  </cols>
  <sheetData>
    <row r="1" spans="1:6" ht="14.25" x14ac:dyDescent="0.2">
      <c r="A1" s="1" t="s">
        <v>86</v>
      </c>
      <c r="B1" s="1" t="s">
        <v>0</v>
      </c>
      <c r="C1" s="1" t="s">
        <v>5</v>
      </c>
      <c r="D1" s="1" t="s">
        <v>20</v>
      </c>
      <c r="E1" s="1" t="s">
        <v>29</v>
      </c>
      <c r="F1" s="1" t="s">
        <v>93</v>
      </c>
    </row>
    <row r="2" spans="1:6" x14ac:dyDescent="0.15">
      <c r="A2">
        <v>1</v>
      </c>
      <c r="B2" t="s">
        <v>1</v>
      </c>
      <c r="C2" t="s">
        <v>6</v>
      </c>
      <c r="D2" t="s">
        <v>21</v>
      </c>
      <c r="E2" t="s">
        <v>30</v>
      </c>
      <c r="F2">
        <v>6</v>
      </c>
    </row>
    <row r="3" spans="1:6" x14ac:dyDescent="0.15">
      <c r="A3">
        <v>1</v>
      </c>
      <c r="B3" t="s">
        <v>1</v>
      </c>
      <c r="C3" t="s">
        <v>7</v>
      </c>
      <c r="D3" t="s">
        <v>21</v>
      </c>
      <c r="E3" t="s">
        <v>30</v>
      </c>
      <c r="F3">
        <v>6</v>
      </c>
    </row>
    <row r="4" spans="1:6" x14ac:dyDescent="0.15">
      <c r="A4">
        <v>1</v>
      </c>
      <c r="B4" t="s">
        <v>1</v>
      </c>
      <c r="C4" t="s">
        <v>8</v>
      </c>
      <c r="D4" t="s">
        <v>21</v>
      </c>
      <c r="E4" t="s">
        <v>30</v>
      </c>
      <c r="F4">
        <v>6</v>
      </c>
    </row>
    <row r="5" spans="1:6" x14ac:dyDescent="0.15">
      <c r="A5">
        <v>1</v>
      </c>
      <c r="B5" t="s">
        <v>1</v>
      </c>
      <c r="C5" t="s">
        <v>9</v>
      </c>
      <c r="D5" t="s">
        <v>21</v>
      </c>
      <c r="E5" t="s">
        <v>30</v>
      </c>
      <c r="F5">
        <v>6</v>
      </c>
    </row>
    <row r="6" spans="1:6" x14ac:dyDescent="0.15">
      <c r="A6">
        <v>2</v>
      </c>
      <c r="B6" t="s">
        <v>2</v>
      </c>
      <c r="C6" t="s">
        <v>10</v>
      </c>
      <c r="D6" t="s">
        <v>21</v>
      </c>
      <c r="E6" t="s">
        <v>30</v>
      </c>
      <c r="F6">
        <v>6</v>
      </c>
    </row>
    <row r="7" spans="1:6" x14ac:dyDescent="0.15">
      <c r="A7">
        <v>2</v>
      </c>
      <c r="B7" t="s">
        <v>2</v>
      </c>
      <c r="C7" t="s">
        <v>11</v>
      </c>
      <c r="D7" t="s">
        <v>21</v>
      </c>
      <c r="E7" t="s">
        <v>30</v>
      </c>
      <c r="F7">
        <v>6</v>
      </c>
    </row>
    <row r="8" spans="1:6" x14ac:dyDescent="0.15">
      <c r="A8">
        <v>2</v>
      </c>
      <c r="B8" t="s">
        <v>2</v>
      </c>
      <c r="C8" t="s">
        <v>12</v>
      </c>
      <c r="D8" t="s">
        <v>21</v>
      </c>
      <c r="E8" t="s">
        <v>30</v>
      </c>
      <c r="F8">
        <v>6</v>
      </c>
    </row>
    <row r="9" spans="1:6" x14ac:dyDescent="0.15">
      <c r="A9">
        <v>2</v>
      </c>
      <c r="B9" t="s">
        <v>2</v>
      </c>
      <c r="C9" t="s">
        <v>13</v>
      </c>
      <c r="D9" t="s">
        <v>21</v>
      </c>
      <c r="E9" t="s">
        <v>30</v>
      </c>
      <c r="F9">
        <v>6</v>
      </c>
    </row>
    <row r="10" spans="1:6" x14ac:dyDescent="0.15">
      <c r="A10">
        <v>3</v>
      </c>
      <c r="B10" t="s">
        <v>3</v>
      </c>
      <c r="C10" t="s">
        <v>14</v>
      </c>
      <c r="D10" t="s">
        <v>21</v>
      </c>
      <c r="E10" t="s">
        <v>30</v>
      </c>
      <c r="F10">
        <v>4</v>
      </c>
    </row>
    <row r="11" spans="1:6" x14ac:dyDescent="0.15">
      <c r="A11">
        <v>3</v>
      </c>
      <c r="B11" t="s">
        <v>3</v>
      </c>
      <c r="C11" t="s">
        <v>12</v>
      </c>
      <c r="D11" t="s">
        <v>21</v>
      </c>
      <c r="E11" t="s">
        <v>30</v>
      </c>
      <c r="F11">
        <v>4</v>
      </c>
    </row>
    <row r="12" spans="1:6" x14ac:dyDescent="0.15">
      <c r="A12">
        <v>3</v>
      </c>
      <c r="B12" t="s">
        <v>3</v>
      </c>
      <c r="C12" t="s">
        <v>11</v>
      </c>
      <c r="D12" t="s">
        <v>21</v>
      </c>
      <c r="E12" t="s">
        <v>30</v>
      </c>
      <c r="F12">
        <v>4</v>
      </c>
    </row>
    <row r="13" spans="1:6" x14ac:dyDescent="0.15">
      <c r="A13">
        <v>3</v>
      </c>
      <c r="B13" t="s">
        <v>3</v>
      </c>
      <c r="C13" t="s">
        <v>13</v>
      </c>
      <c r="D13" t="s">
        <v>21</v>
      </c>
      <c r="E13" t="s">
        <v>30</v>
      </c>
      <c r="F13">
        <v>4</v>
      </c>
    </row>
    <row r="14" spans="1:6" x14ac:dyDescent="0.15">
      <c r="A14">
        <v>4</v>
      </c>
      <c r="B14" t="s">
        <v>4</v>
      </c>
      <c r="C14" t="s">
        <v>15</v>
      </c>
      <c r="D14" t="s">
        <v>21</v>
      </c>
      <c r="E14" t="s">
        <v>30</v>
      </c>
      <c r="F14">
        <v>4</v>
      </c>
    </row>
    <row r="15" spans="1:6" x14ac:dyDescent="0.15">
      <c r="A15">
        <v>4</v>
      </c>
      <c r="B15" t="s">
        <v>4</v>
      </c>
      <c r="C15" t="s">
        <v>16</v>
      </c>
      <c r="D15" t="s">
        <v>21</v>
      </c>
      <c r="E15" t="s">
        <v>30</v>
      </c>
      <c r="F15">
        <v>4</v>
      </c>
    </row>
    <row r="16" spans="1:6" x14ac:dyDescent="0.15">
      <c r="A16">
        <v>4</v>
      </c>
      <c r="B16" t="s">
        <v>4</v>
      </c>
      <c r="C16" t="s">
        <v>17</v>
      </c>
      <c r="D16" t="s">
        <v>21</v>
      </c>
      <c r="E16" t="s">
        <v>30</v>
      </c>
      <c r="F16">
        <v>4</v>
      </c>
    </row>
    <row r="17" spans="1:6" x14ac:dyDescent="0.15">
      <c r="A17">
        <v>4</v>
      </c>
      <c r="B17" t="s">
        <v>4</v>
      </c>
      <c r="C17" t="s">
        <v>9</v>
      </c>
      <c r="D17" t="s">
        <v>21</v>
      </c>
      <c r="E17" t="s">
        <v>30</v>
      </c>
      <c r="F17">
        <v>4</v>
      </c>
    </row>
    <row r="18" spans="1:6" x14ac:dyDescent="0.15">
      <c r="A18">
        <v>4</v>
      </c>
      <c r="B18" t="s">
        <v>4</v>
      </c>
      <c r="C18" t="s">
        <v>18</v>
      </c>
      <c r="D18" t="s">
        <v>21</v>
      </c>
      <c r="E18" t="s">
        <v>30</v>
      </c>
      <c r="F18">
        <v>4</v>
      </c>
    </row>
    <row r="19" spans="1:6" x14ac:dyDescent="0.15">
      <c r="A19">
        <v>4</v>
      </c>
      <c r="B19" t="s">
        <v>4</v>
      </c>
      <c r="C19" t="s">
        <v>19</v>
      </c>
      <c r="D19" t="s">
        <v>21</v>
      </c>
      <c r="E19" t="s">
        <v>30</v>
      </c>
      <c r="F19">
        <v>4</v>
      </c>
    </row>
    <row r="20" spans="1:6" x14ac:dyDescent="0.15">
      <c r="A20">
        <v>5</v>
      </c>
      <c r="B20" t="s">
        <v>23</v>
      </c>
      <c r="C20" t="s">
        <v>10</v>
      </c>
      <c r="D20" t="s">
        <v>22</v>
      </c>
      <c r="E20" t="s">
        <v>31</v>
      </c>
      <c r="F20">
        <v>4</v>
      </c>
    </row>
    <row r="21" spans="1:6" x14ac:dyDescent="0.15">
      <c r="A21">
        <v>5</v>
      </c>
      <c r="B21" t="s">
        <v>23</v>
      </c>
      <c r="C21" t="s">
        <v>16</v>
      </c>
      <c r="D21" t="s">
        <v>22</v>
      </c>
      <c r="E21" t="s">
        <v>31</v>
      </c>
      <c r="F21">
        <v>4</v>
      </c>
    </row>
    <row r="22" spans="1:6" x14ac:dyDescent="0.15">
      <c r="A22">
        <v>5</v>
      </c>
      <c r="B22" t="s">
        <v>23</v>
      </c>
      <c r="C22" t="s">
        <v>17</v>
      </c>
      <c r="D22" t="s">
        <v>22</v>
      </c>
      <c r="E22" t="s">
        <v>31</v>
      </c>
      <c r="F22">
        <v>4</v>
      </c>
    </row>
    <row r="23" spans="1:6" x14ac:dyDescent="0.15">
      <c r="A23">
        <v>5</v>
      </c>
      <c r="B23" t="s">
        <v>23</v>
      </c>
      <c r="C23" t="s">
        <v>24</v>
      </c>
      <c r="D23" t="s">
        <v>22</v>
      </c>
      <c r="E23" t="s">
        <v>31</v>
      </c>
      <c r="F23">
        <v>4</v>
      </c>
    </row>
    <row r="24" spans="1:6" x14ac:dyDescent="0.15">
      <c r="A24">
        <v>5</v>
      </c>
      <c r="B24" t="s">
        <v>23</v>
      </c>
      <c r="C24" t="s">
        <v>25</v>
      </c>
      <c r="D24" t="s">
        <v>22</v>
      </c>
      <c r="E24" t="s">
        <v>31</v>
      </c>
      <c r="F24">
        <v>4</v>
      </c>
    </row>
    <row r="25" spans="1:6" x14ac:dyDescent="0.15">
      <c r="A25">
        <v>5</v>
      </c>
      <c r="B25" t="s">
        <v>23</v>
      </c>
      <c r="C25" t="s">
        <v>26</v>
      </c>
      <c r="D25" t="s">
        <v>22</v>
      </c>
      <c r="E25" t="s">
        <v>31</v>
      </c>
      <c r="F25">
        <v>4</v>
      </c>
    </row>
    <row r="26" spans="1:6" x14ac:dyDescent="0.15">
      <c r="A26">
        <v>5</v>
      </c>
      <c r="B26" t="s">
        <v>23</v>
      </c>
      <c r="C26" t="s">
        <v>27</v>
      </c>
      <c r="D26" t="s">
        <v>22</v>
      </c>
      <c r="E26" t="s">
        <v>31</v>
      </c>
      <c r="F26">
        <v>4</v>
      </c>
    </row>
    <row r="27" spans="1:6" x14ac:dyDescent="0.15">
      <c r="A27">
        <v>6</v>
      </c>
      <c r="B27" t="s">
        <v>32</v>
      </c>
      <c r="C27" t="s">
        <v>33</v>
      </c>
      <c r="D27" t="s">
        <v>28</v>
      </c>
      <c r="E27" t="s">
        <v>31</v>
      </c>
      <c r="F27">
        <v>4</v>
      </c>
    </row>
    <row r="28" spans="1:6" x14ac:dyDescent="0.15">
      <c r="A28">
        <v>6</v>
      </c>
      <c r="B28" t="s">
        <v>32</v>
      </c>
      <c r="C28" t="s">
        <v>34</v>
      </c>
      <c r="D28" t="s">
        <v>38</v>
      </c>
      <c r="E28" t="s">
        <v>31</v>
      </c>
      <c r="F28">
        <v>4</v>
      </c>
    </row>
    <row r="29" spans="1:6" x14ac:dyDescent="0.15">
      <c r="A29">
        <v>6</v>
      </c>
      <c r="B29" t="s">
        <v>32</v>
      </c>
      <c r="C29" t="s">
        <v>35</v>
      </c>
      <c r="D29" t="s">
        <v>39</v>
      </c>
      <c r="E29" t="s">
        <v>31</v>
      </c>
      <c r="F29">
        <v>4</v>
      </c>
    </row>
    <row r="30" spans="1:6" x14ac:dyDescent="0.15">
      <c r="A30">
        <v>6</v>
      </c>
      <c r="B30" t="s">
        <v>32</v>
      </c>
      <c r="C30" t="s">
        <v>36</v>
      </c>
      <c r="D30" t="s">
        <v>40</v>
      </c>
      <c r="E30" t="s">
        <v>31</v>
      </c>
      <c r="F30">
        <v>4</v>
      </c>
    </row>
    <row r="31" spans="1:6" x14ac:dyDescent="0.15">
      <c r="A31">
        <v>6</v>
      </c>
      <c r="B31" t="s">
        <v>32</v>
      </c>
      <c r="C31" t="s">
        <v>85</v>
      </c>
      <c r="D31" t="s">
        <v>41</v>
      </c>
      <c r="E31" t="s">
        <v>31</v>
      </c>
      <c r="F31">
        <v>4</v>
      </c>
    </row>
    <row r="32" spans="1:6" x14ac:dyDescent="0.15">
      <c r="A32">
        <v>6</v>
      </c>
      <c r="B32" t="s">
        <v>32</v>
      </c>
      <c r="C32" t="s">
        <v>37</v>
      </c>
      <c r="D32" t="s">
        <v>42</v>
      </c>
      <c r="E32" t="s">
        <v>31</v>
      </c>
      <c r="F32">
        <v>4</v>
      </c>
    </row>
    <row r="33" spans="1:6" x14ac:dyDescent="0.15">
      <c r="A33">
        <v>6</v>
      </c>
      <c r="B33" t="s">
        <v>32</v>
      </c>
      <c r="C33" t="s">
        <v>44</v>
      </c>
      <c r="D33" t="s">
        <v>43</v>
      </c>
      <c r="E33" t="s">
        <v>31</v>
      </c>
      <c r="F33">
        <v>4</v>
      </c>
    </row>
    <row r="34" spans="1:6" x14ac:dyDescent="0.15">
      <c r="A34">
        <v>7</v>
      </c>
      <c r="B34" t="s">
        <v>45</v>
      </c>
      <c r="C34" t="s">
        <v>46</v>
      </c>
      <c r="D34" s="6" t="s">
        <v>83</v>
      </c>
      <c r="E34" t="s">
        <v>30</v>
      </c>
      <c r="F34">
        <v>4</v>
      </c>
    </row>
    <row r="35" spans="1:6" x14ac:dyDescent="0.15">
      <c r="A35">
        <v>7</v>
      </c>
      <c r="B35" t="s">
        <v>45</v>
      </c>
      <c r="C35" t="s">
        <v>16</v>
      </c>
      <c r="D35" s="6" t="s">
        <v>83</v>
      </c>
      <c r="E35" t="s">
        <v>30</v>
      </c>
      <c r="F35">
        <v>4</v>
      </c>
    </row>
    <row r="36" spans="1:6" x14ac:dyDescent="0.15">
      <c r="A36">
        <v>7</v>
      </c>
      <c r="B36" t="s">
        <v>45</v>
      </c>
      <c r="C36" t="s">
        <v>17</v>
      </c>
      <c r="D36" s="6" t="s">
        <v>83</v>
      </c>
      <c r="E36" t="s">
        <v>30</v>
      </c>
      <c r="F36">
        <v>4</v>
      </c>
    </row>
    <row r="37" spans="1:6" x14ac:dyDescent="0.15">
      <c r="A37">
        <v>7</v>
      </c>
      <c r="B37" t="s">
        <v>45</v>
      </c>
      <c r="C37" t="s">
        <v>66</v>
      </c>
      <c r="D37" s="6" t="s">
        <v>83</v>
      </c>
      <c r="E37" t="s">
        <v>30</v>
      </c>
      <c r="F37">
        <v>4</v>
      </c>
    </row>
    <row r="38" spans="1:6" x14ac:dyDescent="0.15">
      <c r="A38">
        <v>7</v>
      </c>
      <c r="B38" t="s">
        <v>45</v>
      </c>
      <c r="C38" t="s">
        <v>67</v>
      </c>
      <c r="D38" s="6" t="s">
        <v>83</v>
      </c>
      <c r="E38" t="s">
        <v>30</v>
      </c>
      <c r="F38">
        <v>4</v>
      </c>
    </row>
    <row r="39" spans="1:6" x14ac:dyDescent="0.15">
      <c r="A39">
        <v>7</v>
      </c>
      <c r="B39" t="s">
        <v>45</v>
      </c>
      <c r="C39" t="s">
        <v>68</v>
      </c>
      <c r="D39" s="6" t="s">
        <v>83</v>
      </c>
      <c r="E39" t="s">
        <v>30</v>
      </c>
      <c r="F39">
        <v>4</v>
      </c>
    </row>
    <row r="40" spans="1:6" x14ac:dyDescent="0.15">
      <c r="A40">
        <v>7</v>
      </c>
      <c r="B40" t="s">
        <v>45</v>
      </c>
      <c r="C40" t="s">
        <v>69</v>
      </c>
      <c r="D40" s="6" t="s">
        <v>83</v>
      </c>
      <c r="E40" t="s">
        <v>30</v>
      </c>
      <c r="F40">
        <v>4</v>
      </c>
    </row>
    <row r="41" spans="1:6" x14ac:dyDescent="0.15">
      <c r="A41">
        <v>7</v>
      </c>
      <c r="B41" t="s">
        <v>45</v>
      </c>
      <c r="C41" t="s">
        <v>70</v>
      </c>
      <c r="D41" s="6" t="s">
        <v>83</v>
      </c>
      <c r="E41" t="s">
        <v>30</v>
      </c>
      <c r="F41">
        <v>4</v>
      </c>
    </row>
    <row r="42" spans="1:6" x14ac:dyDescent="0.15">
      <c r="A42">
        <v>7</v>
      </c>
      <c r="B42" t="s">
        <v>45</v>
      </c>
      <c r="C42" t="s">
        <v>7</v>
      </c>
      <c r="D42" s="6" t="s">
        <v>83</v>
      </c>
      <c r="E42" t="s">
        <v>30</v>
      </c>
      <c r="F42">
        <v>4</v>
      </c>
    </row>
    <row r="43" spans="1:6" x14ac:dyDescent="0.15">
      <c r="A43">
        <v>8</v>
      </c>
      <c r="B43" t="s">
        <v>71</v>
      </c>
      <c r="C43" t="s">
        <v>16</v>
      </c>
      <c r="D43" s="6" t="s">
        <v>83</v>
      </c>
      <c r="E43" t="s">
        <v>31</v>
      </c>
      <c r="F43">
        <v>4</v>
      </c>
    </row>
    <row r="44" spans="1:6" x14ac:dyDescent="0.15">
      <c r="A44">
        <v>8</v>
      </c>
      <c r="B44" t="s">
        <v>71</v>
      </c>
      <c r="C44" t="s">
        <v>72</v>
      </c>
      <c r="D44" s="6" t="s">
        <v>83</v>
      </c>
      <c r="E44" t="s">
        <v>31</v>
      </c>
      <c r="F44">
        <v>4</v>
      </c>
    </row>
    <row r="45" spans="1:6" x14ac:dyDescent="0.15">
      <c r="A45">
        <v>8</v>
      </c>
      <c r="B45" t="s">
        <v>71</v>
      </c>
      <c r="C45" t="s">
        <v>64</v>
      </c>
      <c r="D45" s="6" t="s">
        <v>83</v>
      </c>
      <c r="E45" t="s">
        <v>31</v>
      </c>
      <c r="F45">
        <v>4</v>
      </c>
    </row>
    <row r="46" spans="1:6" x14ac:dyDescent="0.15">
      <c r="A46">
        <v>8</v>
      </c>
      <c r="B46" t="s">
        <v>71</v>
      </c>
      <c r="C46" t="s">
        <v>73</v>
      </c>
      <c r="D46" s="6" t="s">
        <v>83</v>
      </c>
      <c r="E46" t="s">
        <v>31</v>
      </c>
      <c r="F46">
        <v>4</v>
      </c>
    </row>
    <row r="47" spans="1:6" x14ac:dyDescent="0.15">
      <c r="A47">
        <v>8</v>
      </c>
      <c r="B47" t="s">
        <v>71</v>
      </c>
      <c r="C47" t="s">
        <v>24</v>
      </c>
      <c r="D47" s="6" t="s">
        <v>83</v>
      </c>
      <c r="E47" t="s">
        <v>31</v>
      </c>
      <c r="F47">
        <v>4</v>
      </c>
    </row>
    <row r="48" spans="1:6" x14ac:dyDescent="0.15">
      <c r="A48">
        <v>8</v>
      </c>
      <c r="B48" t="s">
        <v>71</v>
      </c>
      <c r="C48" t="s">
        <v>74</v>
      </c>
      <c r="D48" s="6" t="s">
        <v>83</v>
      </c>
      <c r="E48" t="s">
        <v>31</v>
      </c>
      <c r="F48">
        <v>4</v>
      </c>
    </row>
    <row r="49" spans="1:6" x14ac:dyDescent="0.15">
      <c r="A49">
        <v>8</v>
      </c>
      <c r="B49" t="s">
        <v>71</v>
      </c>
      <c r="C49" t="s">
        <v>65</v>
      </c>
      <c r="D49" s="6" t="s">
        <v>83</v>
      </c>
      <c r="E49" t="s">
        <v>31</v>
      </c>
      <c r="F49">
        <v>4</v>
      </c>
    </row>
    <row r="50" spans="1:6" x14ac:dyDescent="0.15">
      <c r="A50">
        <v>8</v>
      </c>
      <c r="B50" t="s">
        <v>71</v>
      </c>
      <c r="C50" t="s">
        <v>75</v>
      </c>
      <c r="D50" s="6" t="s">
        <v>83</v>
      </c>
      <c r="E50" t="s">
        <v>31</v>
      </c>
      <c r="F50">
        <v>4</v>
      </c>
    </row>
    <row r="51" spans="1:6" x14ac:dyDescent="0.15">
      <c r="A51">
        <v>9</v>
      </c>
      <c r="B51" t="s">
        <v>55</v>
      </c>
      <c r="C51" t="s">
        <v>76</v>
      </c>
      <c r="D51" s="6" t="s">
        <v>83</v>
      </c>
      <c r="E51" t="s">
        <v>30</v>
      </c>
      <c r="F51">
        <v>4</v>
      </c>
    </row>
    <row r="52" spans="1:6" x14ac:dyDescent="0.15">
      <c r="A52">
        <v>9</v>
      </c>
      <c r="B52" t="s">
        <v>55</v>
      </c>
      <c r="C52" t="s">
        <v>77</v>
      </c>
      <c r="D52" s="6" t="s">
        <v>83</v>
      </c>
      <c r="E52" t="s">
        <v>30</v>
      </c>
      <c r="F52">
        <v>4</v>
      </c>
    </row>
    <row r="53" spans="1:6" x14ac:dyDescent="0.15">
      <c r="A53">
        <v>9</v>
      </c>
      <c r="B53" t="s">
        <v>55</v>
      </c>
      <c r="C53" t="s">
        <v>80</v>
      </c>
      <c r="D53" s="6" t="s">
        <v>83</v>
      </c>
      <c r="E53" t="s">
        <v>30</v>
      </c>
      <c r="F53">
        <v>4</v>
      </c>
    </row>
    <row r="54" spans="1:6" x14ac:dyDescent="0.15">
      <c r="A54">
        <v>9</v>
      </c>
      <c r="B54" t="s">
        <v>55</v>
      </c>
      <c r="C54" t="s">
        <v>64</v>
      </c>
      <c r="D54" s="6" t="s">
        <v>83</v>
      </c>
      <c r="E54" t="s">
        <v>30</v>
      </c>
      <c r="F54">
        <v>4</v>
      </c>
    </row>
    <row r="55" spans="1:6" x14ac:dyDescent="0.15">
      <c r="A55">
        <v>9</v>
      </c>
      <c r="B55" t="s">
        <v>55</v>
      </c>
      <c r="C55" t="s">
        <v>75</v>
      </c>
      <c r="D55" s="6" t="s">
        <v>83</v>
      </c>
      <c r="E55" t="s">
        <v>30</v>
      </c>
      <c r="F55">
        <v>4</v>
      </c>
    </row>
    <row r="56" spans="1:6" x14ac:dyDescent="0.15">
      <c r="A56">
        <v>10</v>
      </c>
      <c r="B56" t="s">
        <v>58</v>
      </c>
      <c r="C56" t="s">
        <v>16</v>
      </c>
      <c r="D56" s="6" t="s">
        <v>83</v>
      </c>
      <c r="E56" t="s">
        <v>30</v>
      </c>
      <c r="F56">
        <v>4</v>
      </c>
    </row>
    <row r="57" spans="1:6" x14ac:dyDescent="0.15">
      <c r="A57">
        <v>10</v>
      </c>
      <c r="B57" t="s">
        <v>58</v>
      </c>
      <c r="C57" t="s">
        <v>17</v>
      </c>
      <c r="D57" s="6" t="s">
        <v>83</v>
      </c>
      <c r="E57" t="s">
        <v>30</v>
      </c>
      <c r="F57">
        <v>4</v>
      </c>
    </row>
    <row r="58" spans="1:6" x14ac:dyDescent="0.15">
      <c r="A58">
        <v>10</v>
      </c>
      <c r="B58" t="s">
        <v>58</v>
      </c>
      <c r="C58" t="s">
        <v>66</v>
      </c>
      <c r="D58" s="6" t="s">
        <v>83</v>
      </c>
      <c r="E58" t="s">
        <v>30</v>
      </c>
      <c r="F58">
        <v>4</v>
      </c>
    </row>
    <row r="59" spans="1:6" x14ac:dyDescent="0.15">
      <c r="A59">
        <v>10</v>
      </c>
      <c r="B59" t="s">
        <v>58</v>
      </c>
      <c r="C59" t="s">
        <v>78</v>
      </c>
      <c r="D59" s="6" t="s">
        <v>83</v>
      </c>
      <c r="E59" t="s">
        <v>30</v>
      </c>
      <c r="F59">
        <v>4</v>
      </c>
    </row>
    <row r="60" spans="1:6" x14ac:dyDescent="0.15">
      <c r="A60">
        <v>10</v>
      </c>
      <c r="B60" t="s">
        <v>58</v>
      </c>
      <c r="C60" t="s">
        <v>67</v>
      </c>
      <c r="D60" s="6" t="s">
        <v>83</v>
      </c>
      <c r="E60" t="s">
        <v>30</v>
      </c>
      <c r="F60">
        <v>4</v>
      </c>
    </row>
    <row r="61" spans="1:6" x14ac:dyDescent="0.15">
      <c r="A61">
        <v>10</v>
      </c>
      <c r="B61" t="s">
        <v>58</v>
      </c>
      <c r="C61" t="s">
        <v>69</v>
      </c>
      <c r="D61" s="6" t="s">
        <v>83</v>
      </c>
      <c r="E61" t="s">
        <v>30</v>
      </c>
      <c r="F61">
        <v>4</v>
      </c>
    </row>
    <row r="62" spans="1:6" x14ac:dyDescent="0.15">
      <c r="A62">
        <v>10</v>
      </c>
      <c r="B62" t="s">
        <v>58</v>
      </c>
      <c r="C62" t="s">
        <v>79</v>
      </c>
      <c r="D62" s="6" t="s">
        <v>83</v>
      </c>
      <c r="E62" t="s">
        <v>30</v>
      </c>
      <c r="F62">
        <v>4</v>
      </c>
    </row>
    <row r="63" spans="1:6" x14ac:dyDescent="0.15">
      <c r="A63">
        <v>10</v>
      </c>
      <c r="B63" t="s">
        <v>58</v>
      </c>
      <c r="C63" t="s">
        <v>70</v>
      </c>
      <c r="D63" s="6" t="s">
        <v>83</v>
      </c>
      <c r="E63" t="s">
        <v>30</v>
      </c>
      <c r="F63">
        <v>4</v>
      </c>
    </row>
    <row r="64" spans="1:6" x14ac:dyDescent="0.15">
      <c r="A64">
        <v>11</v>
      </c>
      <c r="B64" t="s">
        <v>61</v>
      </c>
      <c r="C64" t="s">
        <v>6</v>
      </c>
      <c r="D64" s="6" t="s">
        <v>83</v>
      </c>
      <c r="E64" t="s">
        <v>31</v>
      </c>
      <c r="F64">
        <v>4</v>
      </c>
    </row>
    <row r="65" spans="1:6" x14ac:dyDescent="0.15">
      <c r="A65">
        <v>11</v>
      </c>
      <c r="B65" t="s">
        <v>61</v>
      </c>
      <c r="C65" t="s">
        <v>64</v>
      </c>
      <c r="D65" s="6" t="s">
        <v>83</v>
      </c>
      <c r="E65" t="s">
        <v>31</v>
      </c>
      <c r="F65">
        <v>4</v>
      </c>
    </row>
    <row r="66" spans="1:6" x14ac:dyDescent="0.15">
      <c r="A66">
        <v>11</v>
      </c>
      <c r="B66" t="s">
        <v>61</v>
      </c>
      <c r="C66" t="s">
        <v>16</v>
      </c>
      <c r="D66" s="6" t="s">
        <v>83</v>
      </c>
      <c r="E66" t="s">
        <v>31</v>
      </c>
      <c r="F66">
        <v>4</v>
      </c>
    </row>
    <row r="67" spans="1:6" x14ac:dyDescent="0.15">
      <c r="A67">
        <v>11</v>
      </c>
      <c r="B67" t="s">
        <v>61</v>
      </c>
      <c r="C67" t="s">
        <v>73</v>
      </c>
      <c r="D67" s="6" t="s">
        <v>83</v>
      </c>
      <c r="E67" t="s">
        <v>31</v>
      </c>
      <c r="F67">
        <v>4</v>
      </c>
    </row>
    <row r="68" spans="1:6" x14ac:dyDescent="0.15">
      <c r="A68">
        <v>11</v>
      </c>
      <c r="B68" t="s">
        <v>61</v>
      </c>
      <c r="C68" t="s">
        <v>74</v>
      </c>
      <c r="D68" s="6" t="s">
        <v>83</v>
      </c>
      <c r="E68" t="s">
        <v>31</v>
      </c>
      <c r="F68">
        <v>4</v>
      </c>
    </row>
    <row r="69" spans="1:6" x14ac:dyDescent="0.15">
      <c r="A69">
        <v>11</v>
      </c>
      <c r="B69" t="s">
        <v>61</v>
      </c>
      <c r="C69" t="s">
        <v>81</v>
      </c>
      <c r="D69" s="6" t="s">
        <v>83</v>
      </c>
      <c r="E69" t="s">
        <v>31</v>
      </c>
      <c r="F69">
        <v>4</v>
      </c>
    </row>
    <row r="70" spans="1:6" x14ac:dyDescent="0.15">
      <c r="A70">
        <v>11</v>
      </c>
      <c r="B70" t="s">
        <v>61</v>
      </c>
      <c r="C70" t="s">
        <v>82</v>
      </c>
      <c r="D70" s="6" t="s">
        <v>83</v>
      </c>
      <c r="E70" t="s">
        <v>31</v>
      </c>
      <c r="F70">
        <v>4</v>
      </c>
    </row>
    <row r="71" spans="1:6" x14ac:dyDescent="0.15">
      <c r="A71">
        <v>11</v>
      </c>
      <c r="B71" t="s">
        <v>61</v>
      </c>
      <c r="C71" t="s">
        <v>7</v>
      </c>
      <c r="D71" s="6" t="s">
        <v>83</v>
      </c>
      <c r="E71" t="s">
        <v>31</v>
      </c>
      <c r="F71">
        <v>4</v>
      </c>
    </row>
  </sheetData>
  <autoFilter ref="B1:F1" xr:uid="{3E2916E2-89A7-424F-91C4-D4F562255DE1}"/>
  <phoneticPr fontId="2" type="noConversion"/>
  <hyperlinks>
    <hyperlink ref="D34" location="'Chat GPT Recipes'!A1" display="ChatGpt Tab" xr:uid="{F3D79377-DC17-4447-83A4-DE4F6ABADC74}"/>
    <hyperlink ref="D35:D71" location="'Chat GPT Recipes'!A1" display="ChatGpt Tab" xr:uid="{EEC929CD-68DB-48A0-93E9-F723E1ACCED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E966D-DDB9-42BE-BCB9-547C2841DCCE}">
  <sheetPr codeName="Sheet4">
    <tabColor rgb="FFFFC000"/>
  </sheetPr>
  <dimension ref="A1:C6"/>
  <sheetViews>
    <sheetView workbookViewId="0">
      <selection activeCell="F3" sqref="F3"/>
    </sheetView>
  </sheetViews>
  <sheetFormatPr defaultRowHeight="12" x14ac:dyDescent="0.2"/>
  <cols>
    <col min="1" max="1" width="24.125" style="2" customWidth="1"/>
    <col min="2" max="2" width="34.25" style="2" customWidth="1"/>
    <col min="3" max="3" width="37.625" style="2" customWidth="1"/>
    <col min="4" max="16384" width="9" style="2"/>
  </cols>
  <sheetData>
    <row r="1" spans="1:3" x14ac:dyDescent="0.2">
      <c r="A1" s="2" t="s">
        <v>47</v>
      </c>
      <c r="B1" s="2" t="s">
        <v>48</v>
      </c>
      <c r="C1" s="2" t="s">
        <v>49</v>
      </c>
    </row>
    <row r="2" spans="1:3" ht="168" x14ac:dyDescent="0.2">
      <c r="A2" s="4" t="s">
        <v>45</v>
      </c>
      <c r="B2" s="4" t="s">
        <v>50</v>
      </c>
      <c r="C2" s="4" t="s">
        <v>51</v>
      </c>
    </row>
    <row r="3" spans="1:3" ht="168" x14ac:dyDescent="0.2">
      <c r="A3" s="4" t="s">
        <v>52</v>
      </c>
      <c r="B3" s="4" t="s">
        <v>53</v>
      </c>
      <c r="C3" s="3" t="s">
        <v>54</v>
      </c>
    </row>
    <row r="4" spans="1:3" ht="216" x14ac:dyDescent="0.2">
      <c r="A4" s="4" t="s">
        <v>55</v>
      </c>
      <c r="B4" s="4" t="s">
        <v>56</v>
      </c>
      <c r="C4" s="4" t="s">
        <v>57</v>
      </c>
    </row>
    <row r="5" spans="1:3" ht="144" x14ac:dyDescent="0.2">
      <c r="A5" s="4" t="s">
        <v>58</v>
      </c>
      <c r="B5" s="4" t="s">
        <v>59</v>
      </c>
      <c r="C5" s="4" t="s">
        <v>60</v>
      </c>
    </row>
    <row r="6" spans="1:3" ht="108" x14ac:dyDescent="0.2">
      <c r="A6" s="4" t="s">
        <v>61</v>
      </c>
      <c r="B6" s="4" t="s">
        <v>62</v>
      </c>
      <c r="C6" s="4" t="s">
        <v>63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Meal Generator</vt:lpstr>
      <vt:lpstr>Supporting Sheets &gt;&gt;&gt;</vt:lpstr>
      <vt:lpstr>MasterSheet</vt:lpstr>
      <vt:lpstr>Chat GPT Recipes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Fifield, Max</dc:creator>
  <cp:lastModifiedBy>Fifield, Max</cp:lastModifiedBy>
  <dcterms:created xsi:type="dcterms:W3CDTF">2023-01-15T00:52:09Z</dcterms:created>
  <dcterms:modified xsi:type="dcterms:W3CDTF">2023-01-16T06:20:13Z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2023-01-15T00:52:10Z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ab8bfebf-6319-4c48-ad3f-7542b6416bb9</vt:lpwstr>
  </property>
  <property fmtid="{D5CDD505-2E9C-101B-9397-08002B2CF9AE}" pid="8" name="MSIP_Label_ea60d57e-af5b-4752-ac57-3e4f28ca11dc_ContentBits">
    <vt:lpwstr>0</vt:lpwstr>
  </property>
</Properties>
</file>